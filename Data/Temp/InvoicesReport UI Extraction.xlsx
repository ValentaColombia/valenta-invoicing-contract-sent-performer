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DanielRicardoRochaQu\Downloads\Invoicing Bot\Recon\"/>
    </mc:Choice>
  </mc:AlternateContent>
  <xr:revisionPtr revIDLastSave="1220" documentId="13_ncr:1_{B5D6CEAF-E681-4588-8E6E-EF4492DB7BA4}" xr6:coauthVersionLast="47" xr6:coauthVersionMax="47" xr10:uidLastSave="{9AA67935-33BF-47B8-AAB6-FA2AAFFD4CAE}"/>
  <bookViews>
    <workbookView xWindow="-120" yWindow="-120" windowWidth="29040" windowHeight="15840" firstSheet="6" activeTab="6" xr2:uid="{70E8A791-13CE-4BD4-B2C5-703777F4F9B6}"/>
  </bookViews>
  <sheets>
    <sheet name="Invoices Report Input" sheetId="8" r:id="rId1"/>
    <sheet name="Mapping Columns" sheetId="13" state="hidden" r:id="rId2"/>
    <sheet name="Table V0" sheetId="7" state="hidden" r:id="rId3"/>
    <sheet name="Mapping" sheetId="12" state="hidden" r:id="rId4"/>
    <sheet name="Table Sort by Ent&amp;Co" sheetId="11" r:id="rId5"/>
    <sheet name="XERO Entities" sheetId="3" r:id="rId6"/>
    <sheet name="Xero Tax Rate &amp; Acc Code" sheetId="4" r:id="rId7"/>
  </sheets>
  <definedNames>
    <definedName name="_xlnm._FilterDatabase" localSheetId="4" hidden="1">'Table Sort by Ent&amp;Co'!$A$1:$K$1</definedName>
    <definedName name="_xlnm._FilterDatabase" localSheetId="5" hidden="1">'XERO Entities'!$B$1:$E$1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4" l="1"/>
  <c r="F184" i="4"/>
  <c r="F183" i="4"/>
  <c r="F182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" i="3"/>
  <c r="F17" i="3"/>
  <c r="F16" i="3"/>
  <c r="F15" i="3"/>
  <c r="F14" i="3"/>
  <c r="F13" i="3"/>
  <c r="F12" i="3"/>
  <c r="F11" i="3"/>
  <c r="Q2" i="8"/>
  <c r="P2" i="8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P2" i="13"/>
  <c r="Q2" i="13"/>
  <c r="R2" i="13"/>
  <c r="E2" i="13"/>
  <c r="F2" i="13"/>
  <c r="G2" i="13"/>
  <c r="H2" i="13"/>
  <c r="I2" i="13"/>
  <c r="J2" i="13"/>
  <c r="K2" i="13"/>
  <c r="L2" i="13"/>
  <c r="M2" i="13"/>
  <c r="N2" i="13"/>
  <c r="O2" i="13"/>
  <c r="D2" i="13"/>
  <c r="S2" i="13" s="1"/>
  <c r="F2" i="4"/>
  <c r="U2" i="8"/>
  <c r="X2" i="8"/>
  <c r="F2" i="3"/>
  <c r="F3" i="3"/>
  <c r="F4" i="3"/>
  <c r="F5" i="3"/>
  <c r="F6" i="3"/>
  <c r="F7" i="3"/>
  <c r="F8" i="3"/>
  <c r="F9" i="3"/>
  <c r="F10" i="3"/>
  <c r="R2" i="8"/>
  <c r="V2" i="8"/>
  <c r="R2" i="7"/>
  <c r="Q2" i="7"/>
  <c r="P2" i="7"/>
  <c r="L2" i="7"/>
  <c r="O2" i="8" l="1"/>
  <c r="W2" i="8"/>
  <c r="T2" i="8"/>
  <c r="S2" i="8"/>
  <c r="M2" i="7"/>
  <c r="O2" i="7" s="1"/>
  <c r="A2" i="11" l="1" a="1"/>
  <c r="A2" i="11" s="1"/>
  <c r="N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<sst xmlns="http://schemas.openxmlformats.org/spreadsheetml/2006/main" count="982" uniqueCount="146">
  <si>
    <t>RECORD ID - INVOICES</t>
  </si>
  <si>
    <t>CREATE DATE - DAILY</t>
  </si>
  <si>
    <t>INVOICE DATE - DAILY</t>
  </si>
  <si>
    <t>DUE DATE - DAILY</t>
  </si>
  <si>
    <t>BILLING COMPANY</t>
  </si>
  <si>
    <t>INVOICE STATUS</t>
  </si>
  <si>
    <t>COMPANY NAME</t>
  </si>
  <si>
    <t>QUANTITY_LINEITEMS</t>
  </si>
  <si>
    <t>UNIT PRICE_LINEITEMS</t>
  </si>
  <si>
    <t>CURRENCY_INVOICES</t>
  </si>
  <si>
    <t>NAME_LINEITEMS</t>
  </si>
  <si>
    <t>PRODUCT_LINEITEM</t>
  </si>
  <si>
    <t>PRODUCT TYPE_SERVICE LINE</t>
  </si>
  <si>
    <t>PIPELINE_DEAL</t>
  </si>
  <si>
    <t>Xero Entity</t>
  </si>
  <si>
    <t>Invoice Date DMY</t>
  </si>
  <si>
    <t>Due Date DMY</t>
  </si>
  <si>
    <t>Hubspot Invoice ID</t>
  </si>
  <si>
    <t>Account Code (in Xero)</t>
  </si>
  <si>
    <t>Tax Rate (Xero)</t>
  </si>
  <si>
    <t>Delivery Location</t>
  </si>
  <si>
    <t>Product_Item No #</t>
  </si>
  <si>
    <t>Product_Item + Currency + Pipeline</t>
  </si>
  <si>
    <t>Hubspot_Entity_Key</t>
  </si>
  <si>
    <t>13,7,14,15,16,10,11,8,9,17,18,19,20</t>
  </si>
  <si>
    <t>Product_Item + Region + Entity</t>
  </si>
  <si>
    <t>Region</t>
  </si>
  <si>
    <t>INV</t>
  </si>
  <si>
    <t>15,7,16,17,18,10,11,8,9,19,20,13,21</t>
  </si>
  <si>
    <t>Issue Date DMY</t>
  </si>
  <si>
    <t>Product_LineItem + INV ID</t>
  </si>
  <si>
    <t>DELIVERY LOCATION</t>
  </si>
  <si>
    <t>Hubspot Billing Company</t>
  </si>
  <si>
    <t>Country</t>
  </si>
  <si>
    <t>Currency</t>
  </si>
  <si>
    <t>PipeLine</t>
  </si>
  <si>
    <t>Hubspot_Key</t>
  </si>
  <si>
    <t>Valenta AU</t>
  </si>
  <si>
    <t>JA Wealth Pty Ltd</t>
  </si>
  <si>
    <t>Australia</t>
  </si>
  <si>
    <t>AUD</t>
  </si>
  <si>
    <t>Sales Pipeline</t>
  </si>
  <si>
    <t>Valenta ANZ Franchise Pty Ltd</t>
  </si>
  <si>
    <t>Franchise Pipeline</t>
  </si>
  <si>
    <t>Reseller Pipeline</t>
  </si>
  <si>
    <t>Valenta NZ</t>
  </si>
  <si>
    <t>New Zealand</t>
  </si>
  <si>
    <t>NZD</t>
  </si>
  <si>
    <t>Valenta UK</t>
  </si>
  <si>
    <t>Valenta AI Limited</t>
  </si>
  <si>
    <t>UK</t>
  </si>
  <si>
    <t>GBP</t>
  </si>
  <si>
    <t>Valenta Franchise Limited</t>
  </si>
  <si>
    <t>Valenta CA</t>
  </si>
  <si>
    <t>ValentaBPO Outsourcing Inc.</t>
  </si>
  <si>
    <t>Canada</t>
  </si>
  <si>
    <t>CAD</t>
  </si>
  <si>
    <t>Valenta EU</t>
  </si>
  <si>
    <t>Valenta GmbH</t>
  </si>
  <si>
    <t>Europe</t>
  </si>
  <si>
    <t>EUR</t>
  </si>
  <si>
    <t>Valenta MY</t>
  </si>
  <si>
    <t>Valenta BPO Solutions Sdn Bhd</t>
  </si>
  <si>
    <t>Malaysia</t>
  </si>
  <si>
    <t>MYR</t>
  </si>
  <si>
    <t>Valenta TT</t>
  </si>
  <si>
    <t>Valenta Caribbean Limited</t>
  </si>
  <si>
    <t>T&amp;T</t>
  </si>
  <si>
    <t>TTD</t>
  </si>
  <si>
    <t>Line Item</t>
  </si>
  <si>
    <t>Pipeline</t>
  </si>
  <si>
    <t>LineItem_Key</t>
  </si>
  <si>
    <t>FT Accountant</t>
  </si>
  <si>
    <t>GST on Income</t>
  </si>
  <si>
    <t>FT Zoho Developer</t>
  </si>
  <si>
    <t>PT Wealth Management Paraplanner</t>
  </si>
  <si>
    <t>FT Salesforce Developer</t>
  </si>
  <si>
    <t>FT Wealth Management Paraplanner</t>
  </si>
  <si>
    <t>Full Stack Developer</t>
  </si>
  <si>
    <t>Custom Service</t>
  </si>
  <si>
    <t>PT Wealth Management Virtual Assistant</t>
  </si>
  <si>
    <t>FT Bookkeeping</t>
  </si>
  <si>
    <t>Oracle HCM Cloud Developer</t>
  </si>
  <si>
    <t>PT Zoho Developer</t>
  </si>
  <si>
    <t>Full Time Custom Staff Aug</t>
  </si>
  <si>
    <t>Full Time Medical Staff</t>
  </si>
  <si>
    <t>Part Time Custom Staff Aug</t>
  </si>
  <si>
    <t>PT Accountant</t>
  </si>
  <si>
    <t>FT Wealth Management Virtual Assistant</t>
  </si>
  <si>
    <t>PT Bookkeeping</t>
  </si>
  <si>
    <t>Dedicated 24x7x365 Digital Assistant</t>
  </si>
  <si>
    <t>Data Analytics Managed Service</t>
  </si>
  <si>
    <t>Data Analytics Implementation</t>
  </si>
  <si>
    <t>FT RPA Developer</t>
  </si>
  <si>
    <t>DA Implementation Team</t>
  </si>
  <si>
    <t>AI Data Extraction per page</t>
  </si>
  <si>
    <t>Fractional Digital Assistant</t>
  </si>
  <si>
    <t>AI Workshop</t>
  </si>
  <si>
    <t>Background Verification Check Fee</t>
  </si>
  <si>
    <t>Onboarding Setup</t>
  </si>
  <si>
    <t>T&amp;M Staff Augmentation</t>
  </si>
  <si>
    <t>Custom Data Analytics Consulting - T&amp;M</t>
  </si>
  <si>
    <t>Data Analytics - Basic Maintenance</t>
  </si>
  <si>
    <t>Data Analytics - Light Managed Service</t>
  </si>
  <si>
    <t>Data Analytics - Managed Service</t>
  </si>
  <si>
    <t>Data Analytics - Prototype Model</t>
  </si>
  <si>
    <t>Reseller Monthly Fee</t>
  </si>
  <si>
    <t xml:space="preserve">Franchise Setup Fee </t>
  </si>
  <si>
    <t>Monthly Lead Gen Tech Stack Fee</t>
  </si>
  <si>
    <t>Monthly Advertisement Fee</t>
  </si>
  <si>
    <t>Monthly Support Fee</t>
  </si>
  <si>
    <t>Annual Conference Fee</t>
  </si>
  <si>
    <t>Monthly Consultant Access Fee</t>
  </si>
  <si>
    <t>COMPLEX - Ai Powered Data Extraction</t>
  </si>
  <si>
    <t>Ai Powered Data Extraction</t>
  </si>
  <si>
    <t>Digital Assistant - upto 250k Executions</t>
  </si>
  <si>
    <t>Digital Assistant - upto 100k Executions</t>
  </si>
  <si>
    <t>Digital Assistant - upto 50k Executions</t>
  </si>
  <si>
    <t>Digital Assistant - upto 10k Executions</t>
  </si>
  <si>
    <t>MSP Reseller</t>
  </si>
  <si>
    <t>MSP Pipeline</t>
  </si>
  <si>
    <t>MSP Referral Partner</t>
  </si>
  <si>
    <t>MSP Service Delivery Partner</t>
  </si>
  <si>
    <t>GST Free Exports</t>
  </si>
  <si>
    <t xml:space="preserve">Tax on Sales (0%) </t>
  </si>
  <si>
    <t>20% (VAT on Income)</t>
  </si>
  <si>
    <t>Consultant - Dripify License</t>
  </si>
  <si>
    <t>1Password License</t>
  </si>
  <si>
    <t>Consultant - MS Email Only + 1Password</t>
  </si>
  <si>
    <t>Consultant - HubSpot Sales License</t>
  </si>
  <si>
    <t>Consultant - MS CoPilot License</t>
  </si>
  <si>
    <t>HubSpot Sales License</t>
  </si>
  <si>
    <t>Consultant - Apollo License</t>
  </si>
  <si>
    <t>Consultant - MS Email Only</t>
  </si>
  <si>
    <t>Consultant - MS O365 License + 1Password</t>
  </si>
  <si>
    <t>Dripify License</t>
  </si>
  <si>
    <t>Monthly Annual Conference Fee</t>
  </si>
  <si>
    <t>MS CoPilot License</t>
  </si>
  <si>
    <t>MS O365 License + 1Password</t>
  </si>
  <si>
    <t>Apollo License</t>
  </si>
  <si>
    <t>Data Analyst</t>
  </si>
  <si>
    <t>Reseller International</t>
  </si>
  <si>
    <t>Client Staff Bonus</t>
  </si>
  <si>
    <t>GST Free Income</t>
  </si>
  <si>
    <t>Exempt Income</t>
  </si>
  <si>
    <t>Staff Aug 1.5x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</si>
</sst>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C0E6F5"/>
        <bgColor rgb="FFC0E6F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14" fontId="16" fillId="0" borderId="0" xfId="0" applyNumberFormat="1" applyFont="1"/>
    <xf numFmtId="0" fontId="18" fillId="34" borderId="13" xfId="0" applyFont="1" applyFill="1" applyBorder="1"/>
    <xf numFmtId="0" fontId="18" fillId="0" borderId="0" xfId="0" applyFont="1"/>
    <xf numFmtId="14" fontId="18" fillId="0" borderId="0" xfId="0" applyNumberFormat="1" applyFont="1"/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8B0EE-D2F9-4F65-B265-338211C642CC}" name="RAW" displayName="RAW" ref="A1:X2" totalsRowShown="0" headerRowDxfId="24">
  <autoFilter ref="A1:X2" xr:uid="{50DE97F5-C0D9-4056-AF03-D2CFDFE1DFF6}"/>
  <tableColumns count="24">
    <tableColumn id="19" xr3:uid="{BEF5AE36-752D-4636-B0B1-60275FAB7DD7}" name="RECORD ID - INVOICES"/>
    <tableColumn id="1" xr3:uid="{BA424BC9-DF26-450C-B613-7BD591FEE1AC}" name="CREATE DATE - DAILY"/>
    <tableColumn id="21" xr3:uid="{B079F7B1-834E-4A35-BCDF-2AB6829B7198}" name="INVOICE DATE - DAILY"/>
    <tableColumn id="22" xr3:uid="{2519D862-C8B3-4335-B148-49F1B092CC5E}" name="DUE DATE - DAILY"/>
    <tableColumn id="2" xr3:uid="{6F2215D2-EEC3-48A6-8DCE-EB4F086CF07A}" name="BILLING COMPANY"/>
    <tableColumn id="3" xr3:uid="{B156CD53-BE11-4644-BF7C-543CF7DC5D89}" name="INVOICE STATUS"/>
    <tableColumn id="4" xr3:uid="{DD6C88AF-D129-493F-93D5-AAF97C817A3D}" name="COMPANY NAME"/>
    <tableColumn id="5" xr3:uid="{CB2144AC-EDAB-485E-BAC9-C0BC9E6DE97E}" name="QUANTITY_LINEITEMS"/>
    <tableColumn id="6" xr3:uid="{A4155AE9-51D8-4162-B105-FA77C9E708AC}" name="UNIT PRICE_LINEITEMS"/>
    <tableColumn id="7" xr3:uid="{B861C510-88B9-4B31-A87D-3BF714C08C9A}" name="CURRENCY_INVOICES"/>
    <tableColumn id="8" xr3:uid="{98789E4D-87B7-414A-B608-01FA6ABA4588}" name="NAME_LINEITEMS"/>
    <tableColumn id="9" xr3:uid="{03DC8649-7DE9-49EB-96A9-7BCA26348A62}" name="PRODUCT_LINEITEM"/>
    <tableColumn id="10" xr3:uid="{BF3D4C84-1BC1-4B2D-BE8E-D201A6224285}" name="PRODUCT TYPE_SERVICE LINE"/>
    <tableColumn id="12" xr3:uid="{F0D204CC-D99A-4ECF-B942-5E7712F17316}" name="PIPELINE_DEAL"/>
    <tableColumn id="15" xr3:uid="{A6B2F745-8CDB-4897-BE7D-C16F6E8DBED6}" name="Xero Entity" dataDxfId="23">
      <calculatedColumnFormula>+_xlfn.XLOOKUP(RAW[[#This Row],[Hubspot_Entity_Key]],Xero_Entities[Hubspot_Key],Xero_Entities[Xero Entity],"")</calculatedColumnFormula>
    </tableColumn>
    <tableColumn id="23" xr3:uid="{CA2E155F-B494-4E0B-ADFF-EE5D81F6780C}" name="Invoice Date DMY" dataDxfId="22">
      <calculatedColumnFormula>IF(RAW[[#This Row],[INVOICE DATE - DAILY]]="","",TEXT(RAW[[#This Row],[INVOICE DATE - DAILY]],"D MMM YYY"))</calculatedColumnFormula>
    </tableColumn>
    <tableColumn id="24" xr3:uid="{4372AFA6-2D6B-4EC8-91A8-66CB1DFF25B1}" name="Due Date DMY" dataDxfId="21">
      <calculatedColumnFormula>IF(RAW[[#This Row],[DUE DATE - DAILY]]="","",TEXT(RAW[[#This Row],[DUE DATE - DAILY]],"D MMM YYYY"))</calculatedColumnFormula>
    </tableColumn>
    <tableColumn id="20" xr3:uid="{846F92A1-C279-4274-8338-513907B1BD31}" name="Hubspot Invoice ID" dataDxfId="20">
      <calculatedColumnFormula>IFERROR(LEFT(RAW[[#This Row],[RECORD ID - INVOICES]], FIND(" ", RAW[[#This Row],[RECORD ID - INVOICES]])-1),"")</calculatedColumnFormula>
    </tableColumn>
    <tableColumn id="14" xr3:uid="{C87967CA-5FE2-4240-95EA-3B77F10A0362}" name="Account Code (in Xero)" dataDxfId="19">
      <calculatedColumnFormula>+_xlfn.XLOOKUP(RAW[[#This Row],[Product_Item + Currency + Pipeline]],Xero_Tax_Acc[LineItem_Key],Xero_Tax_Acc[Account Code (in Xero)],"")</calculatedColumnFormula>
    </tableColumn>
    <tableColumn id="13" xr3:uid="{6BFB506C-D8D2-4947-A9D0-DE2900040A88}" name="Tax Rate (Xero)" dataDxfId="18">
      <calculatedColumnFormula>+_xlfn.XLOOKUP(RAW[[#This Row],[Product_Item + Currency + Pipeline]],Xero_Tax_Acc[LineItem_Key],Xero_Tax_Acc[Tax Rate (Xero)],"")</calculatedColumnFormula>
    </tableColumn>
    <tableColumn id="18" xr3:uid="{D45EB420-66C0-443B-9E53-0270F51901C7}" name="Delivery Location" dataDxfId="17">
      <calculatedColumnFormula>+_xlfn.XLOOKUP(RAW[[#This Row],[CURRENCY_INVOICES]],Xero_Entities[Currency],Xero_Entities[Country],"")</calculatedColumnFormula>
    </tableColumn>
    <tableColumn id="11" xr3:uid="{248A7223-CA39-40C6-93D2-4BEB0D311965}" name="Product_Item No #" dataDxfId="16">
      <calculatedColumnFormula>IF(OR(ISBLANK(RAW[[#This Row],[PRODUCT_LINEITEM]]),RAW[[#This Row],[PRODUCT_LINEITEM]]="(No Value)"),"",LEFT(RAW[[#This Row],[PRODUCT_LINEITEM]], FIND("(",RAW[[#This Row],[PRODUCT_LINEITEM]])-2))</calculatedColumnFormula>
    </tableColumn>
    <tableColumn id="17" xr3:uid="{54D06941-A50C-47D8-924D-8B3166C1E4DC}" name="Product_Item + Currency + Pipeline" dataDxfId="15">
      <calculatedColumnFormula>IF(RAW[[#This Row],[Product_Item No '#]]&lt;&gt;"",CONCATENATE(RAW[[#This Row],[Product_Item No '#]]," - ",RAW[[#This Row],[CURRENCY_INVOICES]]," - ",RAW[[#This Row],[PIPELINE_DEAL]]),"")</calculatedColumnFormula>
    </tableColumn>
    <tableColumn id="16" xr3:uid="{E2D785CC-7CA0-4DEB-9FCF-42322B73AEAE}" name="Hubspot_Entity_Key" dataDxfId="14">
      <calculatedColumnFormula>IF(RAW[[#This Row],[BILLING COMPANY]]&lt;&gt;"",CONCATENATE(RAW[[#This Row],[BILLING COMPANY]]," - ",RAW[[#This Row],[CURRENCY_INVOICES]]," - ",RAW[[#This Row],[PIPELINE_DEAL]]),"")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9C4CC-46B6-494E-A3BB-C3D49601C427}" name="Table16" displayName="Table16" ref="A1:R2" totalsRowShown="0" headerRowDxfId="13">
  <autoFilter ref="A1:R2" xr:uid="{50DE97F5-C0D9-4056-AF03-D2CFDFE1DFF6}"/>
  <tableColumns count="18">
    <tableColumn id="19" xr3:uid="{53E500F5-B9DC-4CA1-984D-645951F956A9}" name="RECORD ID - INVOICES" dataDxfId="12"/>
    <tableColumn id="1" xr3:uid="{25E6BD98-261D-43D6-A5FC-98EBBF9227A6}" name="CREATE DATE - DAILY" dataDxfId="11"/>
    <tableColumn id="2" xr3:uid="{8A86900C-2007-401F-A08A-0A879C80D5F3}" name="BILLING COMPANY"/>
    <tableColumn id="3" xr3:uid="{EB84FD60-01EB-44D0-A549-C2CA0CE8D37D}" name="INVOICE STATUS"/>
    <tableColumn id="4" xr3:uid="{DC855861-5645-4E78-A355-4A6DC3C284A8}" name="COMPANY NAME"/>
    <tableColumn id="5" xr3:uid="{906F32C1-E22A-40DD-B5A2-0825FD6A878D}" name="QUANTITY_LINEITEMS"/>
    <tableColumn id="6" xr3:uid="{34150ED1-76E8-4EC4-9C16-B90FFA6CF0FA}" name="UNIT PRICE_LINEITEMS"/>
    <tableColumn id="7" xr3:uid="{E7C65D3D-0476-4BD2-BE68-85EEC0A52CB2}" name="CURRENCY_INVOICES"/>
    <tableColumn id="8" xr3:uid="{FA66FF82-A135-4CF7-95D9-811BB630A8BC}" name="NAME_LINEITEMS"/>
    <tableColumn id="9" xr3:uid="{65A41336-A1C9-4FF5-AFD1-06234365168E}" name="PRODUCT_LINEITEM"/>
    <tableColumn id="10" xr3:uid="{B5DD3AD8-07D2-404A-BE94-1919A6ABCA53}" name="PRODUCT TYPE_SERVICE LINE"/>
    <tableColumn id="11" xr3:uid="{481CC285-0349-4504-84DB-C17EF81E62A8}" name="Product_Item No #" dataDxfId="10">
      <calculatedColumnFormula>IF(OR(ISBLANK(Table16[[#This Row],[PRODUCT_LINEITEM]]),Table16[[#This Row],[PRODUCT_LINEITEM]]="(No Value)"),"",LEFT(Table16[[#This Row],[PRODUCT_LINEITEM]], FIND("(",Table16[[#This Row],[PRODUCT_LINEITEM]])-2))</calculatedColumnFormula>
    </tableColumn>
    <tableColumn id="17" xr3:uid="{2028AA52-A4AB-4B63-BF23-D39EB6F89DE5}" name="Product_Item + Region + Entity" dataDxfId="9">
      <calculatedColumnFormula>IF(Table16[[#This Row],[Product_Item No '#]]="","",CONCATENATE(Table16[[#This Row],[Product_Item No '#]]," - ",Table16[[#This Row],[Region]]," - ",Table16[[#This Row],[BILLING COMPANY]]))</calculatedColumnFormula>
    </tableColumn>
    <tableColumn id="13" xr3:uid="{33D7A637-D3A4-4E8B-9F5F-A4ABC5340BB9}" name="Tax Rate (Xero)" dataDxfId="8">
      <calculatedColumnFormula>+_xlfn.XLOOKUP(Table16[[#This Row],[Product_Item + Region + Entity]],#REF!,Xero_Tax_Acc[Tax Rate (Xero)]," ")</calculatedColumnFormula>
    </tableColumn>
    <tableColumn id="14" xr3:uid="{5968E7AC-B0A0-4A21-9F07-CB711EDDEE9C}" name="Account Code (in Xero)" dataDxfId="7">
      <calculatedColumnFormula>+_xlfn.XLOOKUP(Table16[[#This Row],[Product_Item + Region + Entity]],#REF!,Xero_Tax_Acc[Account Code (in Xero)]," ")</calculatedColumnFormula>
    </tableColumn>
    <tableColumn id="15" xr3:uid="{94B5FF6E-83C2-40F1-B04F-1C57CC210230}" name="Xero Entity" dataDxfId="6">
      <calculatedColumnFormula>+_xlfn.XLOOKUP(Table16[[#This Row],[BILLING COMPANY]],#REF!,#REF!,"")</calculatedColumnFormula>
    </tableColumn>
    <tableColumn id="18" xr3:uid="{148ED2C6-11F1-462F-8470-711334DE39F0}" name="Region" dataDxfId="5">
      <calculatedColumnFormula>IF(OR(ISBLANK(Table16[[#This Row],[BILLING COMPANY]]), Table16[[#This Row],[BILLING COMPANY]]="No Value"), "", RIGHT(Table16[[#This Row],[BILLING COMPANY]], LEN(Table16[[#This Row],[BILLING COMPANY]]) - FIND(" ", Table16[[#This Row],[BILLING COMPANY]])))</calculatedColumnFormula>
    </tableColumn>
    <tableColumn id="20" xr3:uid="{96C131E7-55A7-4755-A069-FA2752A25C0C}" name="INV" dataDxfId="4">
      <calculatedColumnFormula>IFERROR("",LEFT(Table16[[#This Row],[RECORD ID - INVOICES]], FIND(" ", Table16[[#This Row],[RECORD ID - INVOICES]])-1))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31898E-D8B0-4157-AC33-DE80918AA0F2}" name="Xero_Entities" displayName="Xero_Entities" ref="A1:F18" totalsRowShown="0" headerRowDxfId="3">
  <autoFilter ref="A1:F18" xr:uid="{8D31898E-D8B0-4157-AC33-DE80918AA0F2}"/>
  <tableColumns count="6">
    <tableColumn id="1" xr3:uid="{99AE4F56-AD61-4611-8374-1E35084A975D}" name="Hubspot Billing Company"/>
    <tableColumn id="2" xr3:uid="{C3891F9A-C80E-49DB-9676-4A7B30F7B305}" name="Xero Entity"/>
    <tableColumn id="3" xr3:uid="{B64FC733-E436-40D9-A16E-CDC012AC6F84}" name="Country"/>
    <tableColumn id="4" xr3:uid="{043A46A6-CD0D-484C-92F4-F04C6F36E2E2}" name="Currency"/>
    <tableColumn id="5" xr3:uid="{90057FA7-4F8D-4165-8B94-BFF5C6BD2F2A}" name="PipeLine"/>
    <tableColumn id="6" xr3:uid="{7DAF5E28-9555-412D-87BA-80304870E37A}" name="Hubspot_Key" dataDxfId="2">
      <calculatedColumnFormula>+CONCATENATE(Xero_Entities[[#This Row],[Hubspot Billing Company]]," - ",Xero_Entities[[#This Row],[Currency]]," - ",Xero_Entities[[#This Row],[PipeLine]])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5A5D82-60EC-45BF-9AFF-3D1DD22F2701}" name="Xero_Tax_Acc" displayName="Xero_Tax_Acc" ref="A1:F185" totalsRowShown="0" headerRowDxfId="1">
  <autoFilter ref="A1:F185" xr:uid="{665A5D82-60EC-45BF-9AFF-3D1DD22F2701}">
    <filterColumn colId="0">
      <filters>
        <filter val="Monthly Support Fee"/>
      </filters>
    </filterColumn>
  </autoFilter>
  <tableColumns count="6">
    <tableColumn id="1" xr3:uid="{ADF06759-72AB-4C84-B20B-0E8D66CF7A70}" name="Line Item"/>
    <tableColumn id="4" xr3:uid="{136FB1F1-5689-4097-ACD2-3191F8E3FAEA}" name="Currency"/>
    <tableColumn id="5" xr3:uid="{77EA6379-93DA-4F26-840F-D4CF7F5311FC}" name="Pipeline"/>
    <tableColumn id="2" xr3:uid="{8EB9D603-BA50-4CDC-B0AD-D55FB6E2B2E1}" name="Tax Rate (Xero)"/>
    <tableColumn id="3" xr3:uid="{4B05348D-EDFB-4DA2-AA5E-4AF7D55BC393}" name="Account Code (in Xero)"/>
    <tableColumn id="6" xr3:uid="{D7762446-169B-4186-A066-8FB05BEBBD3D}" name="LineItem_Key" dataDxfId="0">
      <calculatedColumnFormula>+CONCATENATE(Xero_Tax_Acc[[#This Row],[Line Item]]," - ",Xero_Tax_Acc[[#This Row],[Currency]]," - ",Xero_Tax_Acc[[#This Row],[Pipeline]])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A4F0-A734-4EA4-A5A9-1C496D6B2051}">
  <dimension ref="A1:X2"/>
  <sheetViews>
    <sheetView topLeftCell="P1" workbookViewId="0">
      <selection activeCell="X2" sqref="X2"/>
    </sheetView>
  </sheetViews>
  <sheetFormatPr defaultRowHeight="15"/>
  <cols>
    <col min="1" max="1" width="25.42578125" bestFit="1" customWidth="1"/>
    <col min="2" max="4" width="22.28515625" style="1" customWidth="1"/>
    <col min="5" max="5" width="20.42578125" bestFit="1" customWidth="1"/>
    <col min="6" max="6" width="18.28515625" bestFit="1" customWidth="1"/>
    <col min="7" max="7" width="55.85546875" bestFit="1" customWidth="1"/>
    <col min="8" max="8" width="23" bestFit="1" customWidth="1"/>
    <col min="9" max="9" width="24.28515625" bestFit="1" customWidth="1"/>
    <col min="10" max="10" width="23.42578125" bestFit="1" customWidth="1"/>
    <col min="11" max="11" width="45.42578125" bestFit="1" customWidth="1"/>
    <col min="12" max="12" width="51.7109375" bestFit="1" customWidth="1"/>
    <col min="13" max="13" width="30.5703125" bestFit="1" customWidth="1"/>
    <col min="14" max="14" width="17.140625" bestFit="1" customWidth="1"/>
    <col min="15" max="15" width="27.7109375" bestFit="1" customWidth="1"/>
    <col min="16" max="17" width="27.7109375" customWidth="1"/>
    <col min="18" max="18" width="20.42578125" bestFit="1" customWidth="1"/>
    <col min="19" max="19" width="24.140625" bestFit="1" customWidth="1"/>
    <col min="20" max="20" width="22.42578125" bestFit="1" customWidth="1"/>
    <col min="21" max="21" width="18.85546875" bestFit="1" customWidth="1"/>
    <col min="22" max="22" width="36.28515625" bestFit="1" customWidth="1"/>
    <col min="23" max="23" width="53.85546875" bestFit="1" customWidth="1"/>
    <col min="24" max="24" width="33.7109375" bestFit="1" customWidth="1"/>
  </cols>
  <sheetData>
    <row r="1" spans="1:24">
      <c r="A1" s="2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8"/>
      <c r="B2" s="9"/>
      <c r="C2" s="9"/>
      <c r="D2" s="9"/>
      <c r="E2" s="8"/>
      <c r="F2" s="8"/>
      <c r="G2" s="8"/>
      <c r="H2" s="8"/>
      <c r="I2" s="10"/>
      <c r="J2" s="8"/>
      <c r="K2" s="8"/>
      <c r="L2" s="8"/>
      <c r="M2" s="8"/>
      <c r="N2" s="8"/>
      <c r="O2" s="7" t="str">
        <f>+_xlfn.XLOOKUP(RAW[[#This Row],[Hubspot_Entity_Key]],Xero_Entities[Hubspot_Key],Xero_Entities[Xero Entity],"")</f>
        <v/>
      </c>
      <c r="P2" t="str">
        <f>IF(RAW[[#This Row],[INVOICE DATE - DAILY]]="","",TEXT(RAW[[#This Row],[INVOICE DATE - DAILY]],"D MMM YYY"))</f>
        <v/>
      </c>
      <c r="Q2" t="str">
        <f>IF(RAW[[#This Row],[DUE DATE - DAILY]]="","",TEXT(RAW[[#This Row],[DUE DATE - DAILY]],"D MMM YYYY"))</f>
        <v/>
      </c>
      <c r="R2" t="str">
        <f>IFERROR(LEFT(RAW[[#This Row],[RECORD ID - INVOICES]], FIND(" ", RAW[[#This Row],[RECORD ID - INVOICES]])-1),"")</f>
        <v/>
      </c>
      <c r="S2" t="str">
        <f>+_xlfn.XLOOKUP(RAW[[#This Row],[Product_Item + Currency + Pipeline]],Xero_Tax_Acc[LineItem_Key],Xero_Tax_Acc[Account Code (in Xero)],"")</f>
        <v/>
      </c>
      <c r="T2" t="str">
        <f>+_xlfn.XLOOKUP(RAW[[#This Row],[Product_Item + Currency + Pipeline]],Xero_Tax_Acc[LineItem_Key],Xero_Tax_Acc[Tax Rate (Xero)],"")</f>
        <v/>
      </c>
      <c r="U2" t="str">
        <f>+_xlfn.XLOOKUP(RAW[[#This Row],[CURRENCY_INVOICES]],Xero_Entities[Currency],Xero_Entities[Country],"")</f>
        <v/>
      </c>
      <c r="V2" t="str">
        <f>IF(OR(ISBLANK(RAW[[#This Row],[PRODUCT_LINEITEM]]),RAW[[#This Row],[PRODUCT_LINEITEM]]="(No Value)"),"",LEFT(RAW[[#This Row],[PRODUCT_LINEITEM]], FIND("(",RAW[[#This Row],[PRODUCT_LINEITEM]])-2))</f>
        <v/>
      </c>
      <c r="W2" t="str">
        <f>IF(RAW[[#This Row],[Product_Item No '#]]&lt;&gt;"",CONCATENATE(RAW[[#This Row],[Product_Item No '#]]," - ",RAW[[#This Row],[CURRENCY_INVOICES]]," - ",RAW[[#This Row],[PIPELINE_DEAL]]),"")</f>
        <v/>
      </c>
      <c r="X2" t="str">
        <f>IF(RAW[[#This Row],[BILLING COMPANY]]&lt;&gt;"",CONCATENATE(RAW[[#This Row],[BILLING COMPANY]]," - ",RAW[[#This Row],[CURRENCY_INVOICES]]," - ",RAW[[#This Row],[PIPELINE_DEAL]]),"")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16FF-A167-4822-B30C-F8BB91932680}">
  <dimension ref="A1:S27"/>
  <sheetViews>
    <sheetView workbookViewId="0">
      <selection activeCell="S6" sqref="S6"/>
    </sheetView>
  </sheetViews>
  <sheetFormatPr defaultRowHeight="15"/>
  <cols>
    <col min="1" max="1" width="3.28515625" bestFit="1" customWidth="1"/>
    <col min="2" max="2" width="35.5703125" bestFit="1" customWidth="1"/>
    <col min="3" max="3" width="3.28515625" bestFit="1" customWidth="1"/>
    <col min="4" max="15" width="7.140625" customWidth="1"/>
    <col min="19" max="19" width="33.28515625" customWidth="1"/>
  </cols>
  <sheetData>
    <row r="1" spans="1:19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19">
      <c r="D2">
        <f>+_xlfn.XLOOKUP(D1,$C$4:$C$27,$A$4:$A$27,"")</f>
        <v>15</v>
      </c>
      <c r="E2">
        <f t="shared" ref="E2:O2" si="0">+_xlfn.XLOOKUP(E1,$C$4:$C$27,$A$4:$A$27,"")</f>
        <v>7</v>
      </c>
      <c r="F2">
        <f t="shared" si="0"/>
        <v>16</v>
      </c>
      <c r="G2">
        <f t="shared" si="0"/>
        <v>17</v>
      </c>
      <c r="H2">
        <f t="shared" si="0"/>
        <v>18</v>
      </c>
      <c r="I2">
        <f t="shared" si="0"/>
        <v>10</v>
      </c>
      <c r="J2">
        <f t="shared" si="0"/>
        <v>11</v>
      </c>
      <c r="K2">
        <f t="shared" si="0"/>
        <v>8</v>
      </c>
      <c r="L2">
        <f t="shared" si="0"/>
        <v>9</v>
      </c>
      <c r="M2">
        <f t="shared" si="0"/>
        <v>19</v>
      </c>
      <c r="N2">
        <f t="shared" si="0"/>
        <v>20</v>
      </c>
      <c r="O2">
        <f t="shared" si="0"/>
        <v>13</v>
      </c>
      <c r="P2">
        <f t="shared" ref="P2" si="1">+_xlfn.XLOOKUP(P1,$C$4:$C$27,$A$4:$A$27,"")</f>
        <v>21</v>
      </c>
      <c r="Q2" t="str">
        <f t="shared" ref="Q2" si="2">+_xlfn.XLOOKUP(Q1,$C$4:$C$27,$A$4:$A$27,"")</f>
        <v/>
      </c>
      <c r="R2" t="str">
        <f t="shared" ref="R2" si="3">+_xlfn.XLOOKUP(R1,$C$4:$C$27,$A$4:$A$27,"")</f>
        <v/>
      </c>
      <c r="S2" t="str">
        <f>+_xlfn.TEXTJOIN(",",TRUE,D2:P2)</f>
        <v>15,7,16,17,18,10,11,8,9,19,20,13,21</v>
      </c>
    </row>
    <row r="4" spans="1:19">
      <c r="A4">
        <v>1</v>
      </c>
      <c r="B4" t="s">
        <v>0</v>
      </c>
    </row>
    <row r="5" spans="1:19">
      <c r="A5">
        <v>2</v>
      </c>
      <c r="B5" t="s">
        <v>1</v>
      </c>
    </row>
    <row r="6" spans="1:19">
      <c r="A6">
        <v>3</v>
      </c>
      <c r="B6" t="s">
        <v>2</v>
      </c>
      <c r="S6" t="s">
        <v>24</v>
      </c>
    </row>
    <row r="7" spans="1:19">
      <c r="A7">
        <v>4</v>
      </c>
      <c r="B7" t="s">
        <v>3</v>
      </c>
    </row>
    <row r="8" spans="1:19">
      <c r="A8">
        <v>5</v>
      </c>
      <c r="B8" t="s">
        <v>4</v>
      </c>
    </row>
    <row r="9" spans="1:19">
      <c r="A9">
        <v>6</v>
      </c>
      <c r="B9" t="s">
        <v>5</v>
      </c>
    </row>
    <row r="10" spans="1:19">
      <c r="A10">
        <v>7</v>
      </c>
      <c r="B10" t="s">
        <v>6</v>
      </c>
      <c r="C10">
        <v>2</v>
      </c>
    </row>
    <row r="11" spans="1:19">
      <c r="A11">
        <v>8</v>
      </c>
      <c r="B11" t="s">
        <v>7</v>
      </c>
      <c r="C11">
        <v>8</v>
      </c>
    </row>
    <row r="12" spans="1:19">
      <c r="A12">
        <v>9</v>
      </c>
      <c r="B12" t="s">
        <v>8</v>
      </c>
      <c r="C12">
        <v>9</v>
      </c>
    </row>
    <row r="13" spans="1:19">
      <c r="A13">
        <v>10</v>
      </c>
      <c r="B13" t="s">
        <v>9</v>
      </c>
      <c r="C13">
        <v>6</v>
      </c>
    </row>
    <row r="14" spans="1:19">
      <c r="A14">
        <v>11</v>
      </c>
      <c r="B14" t="s">
        <v>10</v>
      </c>
      <c r="C14">
        <v>7</v>
      </c>
    </row>
    <row r="15" spans="1:19">
      <c r="A15">
        <v>12</v>
      </c>
      <c r="B15" t="s">
        <v>11</v>
      </c>
    </row>
    <row r="16" spans="1:19">
      <c r="A16">
        <v>13</v>
      </c>
      <c r="B16" t="s">
        <v>12</v>
      </c>
      <c r="C16">
        <v>12</v>
      </c>
    </row>
    <row r="17" spans="1:3">
      <c r="A17">
        <v>14</v>
      </c>
      <c r="B17" t="s">
        <v>13</v>
      </c>
    </row>
    <row r="18" spans="1:3">
      <c r="A18">
        <v>15</v>
      </c>
      <c r="B18" t="s">
        <v>14</v>
      </c>
      <c r="C18">
        <v>1</v>
      </c>
    </row>
    <row r="19" spans="1:3">
      <c r="A19">
        <v>16</v>
      </c>
      <c r="B19" t="s">
        <v>15</v>
      </c>
      <c r="C19">
        <v>3</v>
      </c>
    </row>
    <row r="20" spans="1:3">
      <c r="A20">
        <v>17</v>
      </c>
      <c r="B20" t="s">
        <v>16</v>
      </c>
      <c r="C20">
        <v>4</v>
      </c>
    </row>
    <row r="21" spans="1:3">
      <c r="A21">
        <v>18</v>
      </c>
      <c r="B21" t="s">
        <v>17</v>
      </c>
      <c r="C21">
        <v>5</v>
      </c>
    </row>
    <row r="22" spans="1:3">
      <c r="A22">
        <v>19</v>
      </c>
      <c r="B22" t="s">
        <v>18</v>
      </c>
      <c r="C22">
        <v>10</v>
      </c>
    </row>
    <row r="23" spans="1:3">
      <c r="A23">
        <v>20</v>
      </c>
      <c r="B23" t="s">
        <v>19</v>
      </c>
      <c r="C23">
        <v>11</v>
      </c>
    </row>
    <row r="24" spans="1:3">
      <c r="A24">
        <v>21</v>
      </c>
      <c r="B24" t="s">
        <v>20</v>
      </c>
      <c r="C24">
        <v>13</v>
      </c>
    </row>
    <row r="25" spans="1:3">
      <c r="A25">
        <v>22</v>
      </c>
      <c r="B25" t="s">
        <v>21</v>
      </c>
    </row>
    <row r="26" spans="1:3">
      <c r="A26">
        <v>23</v>
      </c>
      <c r="B26" t="s">
        <v>22</v>
      </c>
    </row>
    <row r="27" spans="1:3">
      <c r="A27">
        <v>24</v>
      </c>
      <c r="B2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BA83-CC27-4896-8764-D73504188252}">
  <dimension ref="A1:R2"/>
  <sheetViews>
    <sheetView workbookViewId="0"/>
  </sheetViews>
  <sheetFormatPr defaultRowHeight="15"/>
  <cols>
    <col min="1" max="1" width="24.5703125" bestFit="1" customWidth="1"/>
    <col min="2" max="2" width="22.28515625" customWidth="1"/>
    <col min="3" max="3" width="20" customWidth="1"/>
    <col min="4" max="4" width="18" customWidth="1"/>
    <col min="5" max="5" width="46.85546875" bestFit="1" customWidth="1"/>
    <col min="6" max="6" width="22.5703125" customWidth="1"/>
    <col min="7" max="7" width="23.85546875" customWidth="1"/>
    <col min="8" max="8" width="23.28515625" customWidth="1"/>
    <col min="9" max="9" width="41.5703125" bestFit="1" customWidth="1"/>
    <col min="10" max="10" width="38" bestFit="1" customWidth="1"/>
    <col min="11" max="11" width="30.28515625" customWidth="1"/>
    <col min="12" max="12" width="25.28515625" customWidth="1"/>
    <col min="13" max="13" width="49.28515625" bestFit="1" customWidth="1"/>
    <col min="14" max="14" width="17" bestFit="1" customWidth="1"/>
    <col min="15" max="15" width="24.42578125" bestFit="1" customWidth="1"/>
    <col min="16" max="16" width="15.5703125" bestFit="1" customWidth="1"/>
    <col min="17" max="17" width="9.5703125" bestFit="1" customWidth="1"/>
  </cols>
  <sheetData>
    <row r="1" spans="1:18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21</v>
      </c>
      <c r="M1" s="2" t="s">
        <v>25</v>
      </c>
      <c r="N1" s="2" t="s">
        <v>19</v>
      </c>
      <c r="O1" s="2" t="s">
        <v>18</v>
      </c>
      <c r="P1" s="2" t="s">
        <v>14</v>
      </c>
      <c r="Q1" s="2" t="s">
        <v>26</v>
      </c>
      <c r="R1" s="2" t="s">
        <v>27</v>
      </c>
    </row>
    <row r="2" spans="1:18">
      <c r="B2" s="1"/>
      <c r="L2" t="str">
        <f>IF(OR(ISBLANK(Table16[[#This Row],[PRODUCT_LINEITEM]]),Table16[[#This Row],[PRODUCT_LINEITEM]]="(No Value)"),"",LEFT(Table16[[#This Row],[PRODUCT_LINEITEM]], FIND("(",Table16[[#This Row],[PRODUCT_LINEITEM]])-2))</f>
        <v/>
      </c>
      <c r="M2" t="str">
        <f>IF(Table16[[#This Row],[Product_Item No '#]]="","",CONCATENATE(Table16[[#This Row],[Product_Item No '#]]," - ",Table16[[#This Row],[Region]]," - ",Table16[[#This Row],[BILLING COMPANY]]))</f>
        <v/>
      </c>
      <c r="N2" t="e">
        <f>+_xlfn.XLOOKUP(Table16[[#This Row],[Product_Item + Region + Entity]],#REF!,Xero_Tax_Acc[Tax Rate (Xero)]," ")</f>
        <v>#REF!</v>
      </c>
      <c r="O2" t="e">
        <f>+_xlfn.XLOOKUP(Table16[[#This Row],[Product_Item + Region + Entity]],#REF!,Xero_Tax_Acc[Account Code (in Xero)]," ")</f>
        <v>#REF!</v>
      </c>
      <c r="P2" t="e">
        <f>+_xlfn.XLOOKUP(Table16[[#This Row],[BILLING COMPANY]],#REF!,#REF!,"")</f>
        <v>#REF!</v>
      </c>
      <c r="Q2" t="str">
        <f>IF(OR(ISBLANK(Table16[[#This Row],[BILLING COMPANY]]), Table16[[#This Row],[BILLING COMPANY]]="No Value"), "", RIGHT(Table16[[#This Row],[BILLING COMPANY]], LEN(Table16[[#This Row],[BILLING COMPANY]]) - FIND(" ", Table16[[#This Row],[BILLING COMPANY]])))</f>
        <v/>
      </c>
      <c r="R2" t="str">
        <f>IFERROR("",LEFT(Table16[[#This Row],[RECORD ID - INVOICES]], FIND(" ", Table16[[#This Row],[RECORD ID - INVOICES]])-1))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9797-9F98-4597-8AD2-FADFB45BB062}">
  <dimension ref="A1:AC27"/>
  <sheetViews>
    <sheetView workbookViewId="0">
      <selection activeCell="F24" sqref="F24"/>
    </sheetView>
  </sheetViews>
  <sheetFormatPr defaultRowHeight="15"/>
  <cols>
    <col min="2" max="2" width="28.5703125" bestFit="1" customWidth="1"/>
    <col min="6" max="6" width="31.85546875" bestFit="1" customWidth="1"/>
  </cols>
  <sheetData>
    <row r="1" spans="1:29">
      <c r="F1" t="s">
        <v>28</v>
      </c>
    </row>
    <row r="2" spans="1:29">
      <c r="A2">
        <v>1</v>
      </c>
      <c r="B2" s="3" t="s">
        <v>0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29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</row>
    <row r="3" spans="1:29">
      <c r="A3">
        <v>2</v>
      </c>
      <c r="B3" s="4" t="s">
        <v>1</v>
      </c>
    </row>
    <row r="4" spans="1:29">
      <c r="A4">
        <v>3</v>
      </c>
      <c r="B4" s="4" t="s">
        <v>4</v>
      </c>
      <c r="E4">
        <v>1</v>
      </c>
      <c r="F4" t="s">
        <v>0</v>
      </c>
    </row>
    <row r="5" spans="1:29">
      <c r="A5">
        <v>4</v>
      </c>
      <c r="B5" s="4" t="s">
        <v>5</v>
      </c>
      <c r="E5">
        <v>2</v>
      </c>
      <c r="F5" t="s">
        <v>1</v>
      </c>
    </row>
    <row r="6" spans="1:29">
      <c r="A6">
        <v>5</v>
      </c>
      <c r="B6" s="4" t="s">
        <v>6</v>
      </c>
      <c r="E6">
        <v>3</v>
      </c>
      <c r="F6" t="s">
        <v>2</v>
      </c>
    </row>
    <row r="7" spans="1:29">
      <c r="A7">
        <v>6</v>
      </c>
      <c r="B7" s="4" t="s">
        <v>7</v>
      </c>
      <c r="E7">
        <v>4</v>
      </c>
      <c r="F7" t="s">
        <v>3</v>
      </c>
    </row>
    <row r="8" spans="1:29">
      <c r="A8">
        <v>7</v>
      </c>
      <c r="B8" s="4" t="s">
        <v>8</v>
      </c>
      <c r="E8">
        <v>5</v>
      </c>
      <c r="F8" t="s">
        <v>4</v>
      </c>
    </row>
    <row r="9" spans="1:29">
      <c r="A9">
        <v>8</v>
      </c>
      <c r="B9" s="4" t="s">
        <v>9</v>
      </c>
      <c r="E9">
        <v>6</v>
      </c>
      <c r="F9" t="s">
        <v>5</v>
      </c>
    </row>
    <row r="10" spans="1:29">
      <c r="A10">
        <v>9</v>
      </c>
      <c r="B10" s="4" t="s">
        <v>10</v>
      </c>
      <c r="E10">
        <v>7</v>
      </c>
      <c r="F10" t="s">
        <v>6</v>
      </c>
      <c r="G10">
        <v>2</v>
      </c>
    </row>
    <row r="11" spans="1:29">
      <c r="A11">
        <v>10</v>
      </c>
      <c r="B11" s="4" t="s">
        <v>11</v>
      </c>
      <c r="E11">
        <v>8</v>
      </c>
      <c r="F11" t="s">
        <v>7</v>
      </c>
      <c r="G11">
        <v>8</v>
      </c>
    </row>
    <row r="12" spans="1:29">
      <c r="A12">
        <v>11</v>
      </c>
      <c r="B12" s="4" t="s">
        <v>12</v>
      </c>
      <c r="E12">
        <v>9</v>
      </c>
      <c r="F12" t="s">
        <v>8</v>
      </c>
      <c r="G12">
        <v>9</v>
      </c>
    </row>
    <row r="13" spans="1:29">
      <c r="A13">
        <v>12</v>
      </c>
      <c r="B13" s="4" t="s">
        <v>13</v>
      </c>
      <c r="E13">
        <v>10</v>
      </c>
      <c r="F13" t="s">
        <v>9</v>
      </c>
      <c r="G13">
        <v>6</v>
      </c>
    </row>
    <row r="14" spans="1:29">
      <c r="A14">
        <v>13</v>
      </c>
      <c r="B14" s="4" t="s">
        <v>30</v>
      </c>
      <c r="E14">
        <v>11</v>
      </c>
      <c r="F14" t="s">
        <v>10</v>
      </c>
      <c r="G14">
        <v>7</v>
      </c>
    </row>
    <row r="15" spans="1:29">
      <c r="A15">
        <v>14</v>
      </c>
      <c r="B15" s="4" t="s">
        <v>21</v>
      </c>
      <c r="E15">
        <v>12</v>
      </c>
      <c r="F15" t="s">
        <v>11</v>
      </c>
    </row>
    <row r="16" spans="1:29">
      <c r="A16">
        <v>15</v>
      </c>
      <c r="B16" s="4" t="s">
        <v>25</v>
      </c>
      <c r="E16">
        <v>13</v>
      </c>
      <c r="F16" t="s">
        <v>12</v>
      </c>
      <c r="G16">
        <v>12</v>
      </c>
    </row>
    <row r="17" spans="1:7">
      <c r="A17">
        <v>16</v>
      </c>
      <c r="B17" s="4" t="s">
        <v>19</v>
      </c>
      <c r="E17">
        <v>14</v>
      </c>
      <c r="F17" t="s">
        <v>13</v>
      </c>
    </row>
    <row r="18" spans="1:7">
      <c r="A18">
        <v>17</v>
      </c>
      <c r="B18" s="4" t="s">
        <v>18</v>
      </c>
      <c r="E18">
        <v>15</v>
      </c>
      <c r="F18" t="s">
        <v>14</v>
      </c>
      <c r="G18">
        <v>1</v>
      </c>
    </row>
    <row r="19" spans="1:7">
      <c r="A19">
        <v>18</v>
      </c>
      <c r="B19" s="4" t="s">
        <v>14</v>
      </c>
      <c r="E19">
        <v>16</v>
      </c>
      <c r="F19" t="s">
        <v>15</v>
      </c>
      <c r="G19">
        <v>3</v>
      </c>
    </row>
    <row r="20" spans="1:7">
      <c r="A20">
        <v>19</v>
      </c>
      <c r="B20" s="4" t="s">
        <v>26</v>
      </c>
      <c r="E20">
        <v>17</v>
      </c>
      <c r="F20" t="s">
        <v>16</v>
      </c>
      <c r="G20">
        <v>4</v>
      </c>
    </row>
    <row r="21" spans="1:7">
      <c r="A21">
        <v>20</v>
      </c>
      <c r="B21" s="5" t="s">
        <v>27</v>
      </c>
      <c r="E21">
        <v>18</v>
      </c>
      <c r="F21" t="s">
        <v>17</v>
      </c>
      <c r="G21">
        <v>5</v>
      </c>
    </row>
    <row r="22" spans="1:7">
      <c r="E22">
        <v>19</v>
      </c>
      <c r="F22" t="s">
        <v>18</v>
      </c>
      <c r="G22">
        <v>10</v>
      </c>
    </row>
    <row r="23" spans="1:7">
      <c r="E23">
        <v>20</v>
      </c>
      <c r="F23" t="s">
        <v>19</v>
      </c>
      <c r="G23">
        <v>11</v>
      </c>
    </row>
    <row r="24" spans="1:7">
      <c r="E24">
        <v>21</v>
      </c>
      <c r="F24" t="s">
        <v>20</v>
      </c>
      <c r="G24">
        <v>13</v>
      </c>
    </row>
    <row r="25" spans="1:7">
      <c r="E25">
        <v>22</v>
      </c>
      <c r="F25" t="s">
        <v>21</v>
      </c>
    </row>
    <row r="26" spans="1:7">
      <c r="E26">
        <v>23</v>
      </c>
      <c r="F26" t="s">
        <v>22</v>
      </c>
    </row>
    <row r="27" spans="1:7">
      <c r="E27">
        <v>24</v>
      </c>
      <c r="F2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CB1E-9375-4A94-8687-E1E1D6878DAA}">
  <dimension ref="A1:T2"/>
  <sheetViews>
    <sheetView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16.7109375" bestFit="1" customWidth="1"/>
    <col min="2" max="2" width="36.28515625" bestFit="1" customWidth="1"/>
    <col min="3" max="3" width="23" style="1" bestFit="1" customWidth="1"/>
    <col min="4" max="4" width="19" style="1" bestFit="1" customWidth="1"/>
    <col min="5" max="5" width="20.42578125" bestFit="1" customWidth="1"/>
    <col min="6" max="6" width="23.42578125" bestFit="1" customWidth="1"/>
    <col min="7" max="7" width="43.7109375" bestFit="1" customWidth="1"/>
    <col min="8" max="8" width="23" bestFit="1" customWidth="1"/>
    <col min="9" max="9" width="24.28515625" bestFit="1" customWidth="1"/>
    <col min="10" max="10" width="21.85546875" bestFit="1" customWidth="1"/>
    <col min="11" max="11" width="19.5703125" bestFit="1" customWidth="1"/>
    <col min="12" max="12" width="28.28515625" bestFit="1" customWidth="1"/>
    <col min="13" max="13" width="19.7109375" bestFit="1" customWidth="1"/>
    <col min="14" max="14" width="36.28515625" bestFit="1" customWidth="1"/>
    <col min="15" max="15" width="53.85546875" bestFit="1" customWidth="1"/>
    <col min="16" max="16" width="14.42578125" bestFit="1" customWidth="1"/>
    <col min="17" max="17" width="21.85546875" bestFit="1" customWidth="1"/>
    <col min="18" max="18" width="15.7109375" bestFit="1" customWidth="1"/>
    <col min="19" max="19" width="7.140625" bestFit="1" customWidth="1"/>
  </cols>
  <sheetData>
    <row r="1" spans="1:20">
      <c r="A1" s="2" t="s">
        <v>14</v>
      </c>
      <c r="B1" s="2" t="s">
        <v>6</v>
      </c>
      <c r="C1" s="6" t="s">
        <v>2</v>
      </c>
      <c r="D1" s="6" t="s">
        <v>3</v>
      </c>
      <c r="E1" s="2" t="s">
        <v>17</v>
      </c>
      <c r="F1" s="2" t="s">
        <v>9</v>
      </c>
      <c r="G1" s="2" t="s">
        <v>10</v>
      </c>
      <c r="H1" s="2" t="s">
        <v>7</v>
      </c>
      <c r="I1" s="2" t="s">
        <v>8</v>
      </c>
      <c r="J1" s="2" t="s">
        <v>18</v>
      </c>
      <c r="K1" s="2" t="s">
        <v>19</v>
      </c>
      <c r="L1" s="2" t="s">
        <v>12</v>
      </c>
      <c r="M1" s="2" t="s">
        <v>31</v>
      </c>
      <c r="N1" s="2"/>
      <c r="O1" s="2"/>
      <c r="P1" s="2"/>
      <c r="Q1" s="2"/>
      <c r="R1" s="2"/>
      <c r="S1" s="2"/>
      <c r="T1" s="2"/>
    </row>
    <row r="2" spans="1:20">
      <c r="A2" t="e" cm="1">
        <f t="array" ref="A2">_xlfn.LET(
  _xlpm.f, _xlfn._xlws.FILTER(RAW[], RAW[RECORD ID - INVOICES]&lt;&gt;0, ""),
  _xlpm.a, _xlfn.CHOOSECOLS(_xlpm.f, 15,7,16,17,18,10,11,8,9,19,20,13,21),
  _xlfn.SORTBY(_xlpm.a, INDEX(_xlpm.a,,1), 1, INDEX(_xlpm.a,,2), 1, INDEX(_xlpm.a,,4), 1,  INDEX(_xlpm.a,,5), 1)
)</f>
        <v>#VALUE!</v>
      </c>
    </row>
  </sheetData>
  <autoFilter ref="A1:I65" xr:uid="{1B90CB1E-9375-4A94-8687-E1E1D6878DA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97C6-2C53-4309-92B4-20078878B9DC}">
  <dimension ref="A1:X42"/>
  <sheetViews>
    <sheetView workbookViewId="0">
      <selection activeCell="F27" sqref="F27"/>
    </sheetView>
  </sheetViews>
  <sheetFormatPr defaultRowHeight="15"/>
  <cols>
    <col min="1" max="1" width="26.28515625" bestFit="1" customWidth="1"/>
    <col min="2" max="2" width="28.28515625" bestFit="1" customWidth="1"/>
    <col min="3" max="3" width="18.5703125" bestFit="1" customWidth="1"/>
    <col min="4" max="4" width="11.5703125" bestFit="1" customWidth="1"/>
    <col min="5" max="5" width="17" bestFit="1" customWidth="1"/>
    <col min="6" max="6" width="47" bestFit="1" customWidth="1"/>
    <col min="9" max="9" width="29.85546875" bestFit="1" customWidth="1"/>
    <col min="10" max="10" width="28.28515625" bestFit="1" customWidth="1"/>
    <col min="11" max="11" width="11.5703125" bestFit="1" customWidth="1"/>
    <col min="12" max="12" width="28.28515625" bestFit="1" customWidth="1"/>
    <col min="13" max="13" width="17" bestFit="1" customWidth="1"/>
    <col min="14" max="14" width="34" bestFit="1" customWidth="1"/>
    <col min="16" max="16" width="28.28515625" bestFit="1" customWidth="1"/>
    <col min="18" max="18" width="15" bestFit="1" customWidth="1"/>
    <col min="19" max="19" width="23.140625" bestFit="1" customWidth="1"/>
    <col min="21" max="21" width="26.42578125" bestFit="1" customWidth="1"/>
  </cols>
  <sheetData>
    <row r="1" spans="1:24">
      <c r="A1" s="2" t="s">
        <v>32</v>
      </c>
      <c r="B1" s="2" t="s">
        <v>14</v>
      </c>
      <c r="C1" s="2" t="s">
        <v>33</v>
      </c>
      <c r="D1" s="2" t="s">
        <v>34</v>
      </c>
      <c r="E1" s="2" t="s">
        <v>35</v>
      </c>
      <c r="F1" s="2" t="s">
        <v>36</v>
      </c>
    </row>
    <row r="2" spans="1:24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tr">
        <f>+CONCATENATE(Xero_Entities[[#This Row],[Hubspot Billing Company]]," - ",Xero_Entities[[#This Row],[Currency]]," - ",Xero_Entities[[#This Row],[PipeLine]])</f>
        <v>Valenta AU - AUD - Sales Pipeline</v>
      </c>
    </row>
    <row r="3" spans="1:24">
      <c r="A3" t="s">
        <v>37</v>
      </c>
      <c r="B3" t="s">
        <v>42</v>
      </c>
      <c r="C3" t="s">
        <v>39</v>
      </c>
      <c r="D3" t="s">
        <v>40</v>
      </c>
      <c r="E3" t="s">
        <v>43</v>
      </c>
      <c r="F3" t="str">
        <f>+CONCATENATE(Xero_Entities[[#This Row],[Hubspot Billing Company]]," - ",Xero_Entities[[#This Row],[Currency]]," - ",Xero_Entities[[#This Row],[PipeLine]])</f>
        <v>Valenta AU - AUD - Franchise Pipeline</v>
      </c>
    </row>
    <row r="4" spans="1:24">
      <c r="A4" t="s">
        <v>37</v>
      </c>
      <c r="B4" t="s">
        <v>38</v>
      </c>
      <c r="C4" t="s">
        <v>39</v>
      </c>
      <c r="D4" t="s">
        <v>40</v>
      </c>
      <c r="E4" t="s">
        <v>44</v>
      </c>
      <c r="F4" t="str">
        <f>+CONCATENATE(Xero_Entities[[#This Row],[Hubspot Billing Company]]," - ",Xero_Entities[[#This Row],[Currency]]," - ",Xero_Entities[[#This Row],[PipeLine]])</f>
        <v>Valenta AU - AUD - Reseller Pipeline</v>
      </c>
    </row>
    <row r="5" spans="1:24">
      <c r="A5" t="s">
        <v>45</v>
      </c>
      <c r="B5" t="s">
        <v>38</v>
      </c>
      <c r="C5" t="s">
        <v>46</v>
      </c>
      <c r="D5" t="s">
        <v>47</v>
      </c>
      <c r="E5" t="s">
        <v>41</v>
      </c>
      <c r="F5" t="str">
        <f>+CONCATENATE(Xero_Entities[[#This Row],[Hubspot Billing Company]]," - ",Xero_Entities[[#This Row],[Currency]]," - ",Xero_Entities[[#This Row],[PipeLine]])</f>
        <v>Valenta NZ - NZD - Sales Pipeline</v>
      </c>
    </row>
    <row r="6" spans="1:24">
      <c r="A6" t="s">
        <v>45</v>
      </c>
      <c r="B6" t="s">
        <v>42</v>
      </c>
      <c r="C6" t="s">
        <v>46</v>
      </c>
      <c r="D6" t="s">
        <v>47</v>
      </c>
      <c r="E6" t="s">
        <v>43</v>
      </c>
      <c r="F6" t="str">
        <f>+CONCATENATE(Xero_Entities[[#This Row],[Hubspot Billing Company]]," - ",Xero_Entities[[#This Row],[Currency]]," - ",Xero_Entities[[#This Row],[PipeLine]])</f>
        <v>Valenta NZ - NZD - Franchise Pipeline</v>
      </c>
    </row>
    <row r="7" spans="1:24">
      <c r="A7" t="s">
        <v>45</v>
      </c>
      <c r="B7" t="s">
        <v>38</v>
      </c>
      <c r="C7" t="s">
        <v>46</v>
      </c>
      <c r="D7" t="s">
        <v>47</v>
      </c>
      <c r="E7" t="s">
        <v>44</v>
      </c>
      <c r="F7" t="str">
        <f>+CONCATENATE(Xero_Entities[[#This Row],[Hubspot Billing Company]]," - ",Xero_Entities[[#This Row],[Currency]]," - ",Xero_Entities[[#This Row],[PipeLine]])</f>
        <v>Valenta NZ - NZD - Reseller Pipeline</v>
      </c>
    </row>
    <row r="8" spans="1:24">
      <c r="A8" t="s">
        <v>48</v>
      </c>
      <c r="B8" t="s">
        <v>49</v>
      </c>
      <c r="C8" t="s">
        <v>50</v>
      </c>
      <c r="D8" t="s">
        <v>51</v>
      </c>
      <c r="E8" t="s">
        <v>41</v>
      </c>
      <c r="F8" t="str">
        <f>+CONCATENATE(Xero_Entities[[#This Row],[Hubspot Billing Company]]," - ",Xero_Entities[[#This Row],[Currency]]," - ",Xero_Entities[[#This Row],[PipeLine]])</f>
        <v>Valenta UK - GBP - Sales Pipeline</v>
      </c>
      <c r="W8" s="2"/>
      <c r="X8" s="2"/>
    </row>
    <row r="9" spans="1:24">
      <c r="A9" t="s">
        <v>48</v>
      </c>
      <c r="B9" t="s">
        <v>52</v>
      </c>
      <c r="C9" t="s">
        <v>50</v>
      </c>
      <c r="D9" t="s">
        <v>51</v>
      </c>
      <c r="E9" t="s">
        <v>43</v>
      </c>
      <c r="F9" t="str">
        <f>+CONCATENATE(Xero_Entities[[#This Row],[Hubspot Billing Company]]," - ",Xero_Entities[[#This Row],[Currency]]," - ",Xero_Entities[[#This Row],[PipeLine]])</f>
        <v>Valenta UK - GBP - Franchise Pipeline</v>
      </c>
    </row>
    <row r="10" spans="1:24">
      <c r="A10" t="s">
        <v>48</v>
      </c>
      <c r="B10" t="s">
        <v>49</v>
      </c>
      <c r="C10" t="s">
        <v>50</v>
      </c>
      <c r="D10" t="s">
        <v>51</v>
      </c>
      <c r="E10" t="s">
        <v>44</v>
      </c>
      <c r="F10" t="str">
        <f>+CONCATENATE(Xero_Entities[[#This Row],[Hubspot Billing Company]]," - ",Xero_Entities[[#This Row],[Currency]]," - ",Xero_Entities[[#This Row],[PipeLine]])</f>
        <v>Valenta UK - GBP - Reseller Pipeline</v>
      </c>
    </row>
    <row r="11" spans="1:24">
      <c r="A11" t="s">
        <v>53</v>
      </c>
      <c r="B11" t="s">
        <v>54</v>
      </c>
      <c r="C11" t="s">
        <v>55</v>
      </c>
      <c r="D11" t="s">
        <v>56</v>
      </c>
      <c r="E11" t="s">
        <v>41</v>
      </c>
      <c r="F11" t="str">
        <f>+CONCATENATE(Xero_Entities[[#This Row],[Hubspot Billing Company]]," - ",Xero_Entities[[#This Row],[Currency]]," - ",Xero_Entities[[#This Row],[PipeLine]])</f>
        <v>Valenta CA - CAD - Sales Pipeline</v>
      </c>
    </row>
    <row r="12" spans="1:24">
      <c r="A12" t="s">
        <v>53</v>
      </c>
      <c r="B12" t="s">
        <v>54</v>
      </c>
      <c r="C12" t="s">
        <v>55</v>
      </c>
      <c r="D12" t="s">
        <v>56</v>
      </c>
      <c r="E12" t="s">
        <v>43</v>
      </c>
      <c r="F12" t="str">
        <f>+CONCATENATE(Xero_Entities[[#This Row],[Hubspot Billing Company]]," - ",Xero_Entities[[#This Row],[Currency]]," - ",Xero_Entities[[#This Row],[PipeLine]])</f>
        <v>Valenta CA - CAD - Franchise Pipeline</v>
      </c>
    </row>
    <row r="13" spans="1:24">
      <c r="A13" t="s">
        <v>57</v>
      </c>
      <c r="B13" t="s">
        <v>58</v>
      </c>
      <c r="C13" t="s">
        <v>59</v>
      </c>
      <c r="D13" t="s">
        <v>60</v>
      </c>
      <c r="E13" t="s">
        <v>41</v>
      </c>
      <c r="F13" t="str">
        <f>+CONCATENATE(Xero_Entities[[#This Row],[Hubspot Billing Company]]," - ",Xero_Entities[[#This Row],[Currency]]," - ",Xero_Entities[[#This Row],[PipeLine]])</f>
        <v>Valenta EU - EUR - Sales Pipeline</v>
      </c>
    </row>
    <row r="14" spans="1:24">
      <c r="A14" t="s">
        <v>57</v>
      </c>
      <c r="B14" t="s">
        <v>58</v>
      </c>
      <c r="C14" t="s">
        <v>59</v>
      </c>
      <c r="D14" t="s">
        <v>60</v>
      </c>
      <c r="E14" t="s">
        <v>43</v>
      </c>
      <c r="F14" t="str">
        <f>+CONCATENATE(Xero_Entities[[#This Row],[Hubspot Billing Company]]," - ",Xero_Entities[[#This Row],[Currency]]," - ",Xero_Entities[[#This Row],[PipeLine]])</f>
        <v>Valenta EU - EUR - Franchise Pipeline</v>
      </c>
    </row>
    <row r="15" spans="1:24">
      <c r="A15" t="s">
        <v>61</v>
      </c>
      <c r="B15" t="s">
        <v>62</v>
      </c>
      <c r="C15" t="s">
        <v>63</v>
      </c>
      <c r="D15" t="s">
        <v>64</v>
      </c>
      <c r="E15" t="s">
        <v>41</v>
      </c>
      <c r="F15" t="str">
        <f>+CONCATENATE(Xero_Entities[[#This Row],[Hubspot Billing Company]]," - ",Xero_Entities[[#This Row],[Currency]]," - ",Xero_Entities[[#This Row],[PipeLine]])</f>
        <v>Valenta MY - MYR - Sales Pipeline</v>
      </c>
    </row>
    <row r="16" spans="1:24">
      <c r="A16" t="s">
        <v>61</v>
      </c>
      <c r="B16" t="s">
        <v>62</v>
      </c>
      <c r="C16" t="s">
        <v>63</v>
      </c>
      <c r="D16" t="s">
        <v>64</v>
      </c>
      <c r="E16" t="s">
        <v>43</v>
      </c>
      <c r="F16" t="str">
        <f>+CONCATENATE(Xero_Entities[[#This Row],[Hubspot Billing Company]]," - ",Xero_Entities[[#This Row],[Currency]]," - ",Xero_Entities[[#This Row],[PipeLine]])</f>
        <v>Valenta MY - MYR - Franchise Pipeline</v>
      </c>
      <c r="I16" s="2"/>
      <c r="J16" s="2"/>
      <c r="K16" s="2"/>
      <c r="L16" s="2"/>
      <c r="M16" s="2"/>
      <c r="N16" s="2"/>
    </row>
    <row r="17" spans="1:11">
      <c r="A17" t="s">
        <v>65</v>
      </c>
      <c r="B17" t="s">
        <v>66</v>
      </c>
      <c r="C17" t="s">
        <v>67</v>
      </c>
      <c r="D17" t="s">
        <v>68</v>
      </c>
      <c r="E17" t="s">
        <v>41</v>
      </c>
      <c r="F17" t="str">
        <f>+CONCATENATE(Xero_Entities[[#This Row],[Hubspot Billing Company]]," - ",Xero_Entities[[#This Row],[Currency]]," - ",Xero_Entities[[#This Row],[PipeLine]])</f>
        <v>Valenta TT - TTD - Sales Pipeline</v>
      </c>
      <c r="K17" s="2"/>
    </row>
    <row r="18" spans="1:11">
      <c r="A18" t="s">
        <v>65</v>
      </c>
      <c r="B18" t="s">
        <v>66</v>
      </c>
      <c r="C18" t="s">
        <v>67</v>
      </c>
      <c r="D18" t="s">
        <v>68</v>
      </c>
      <c r="E18" t="s">
        <v>43</v>
      </c>
      <c r="F18" t="str">
        <f>+CONCATENATE(Xero_Entities[[#This Row],[Hubspot Billing Company]]," - ",Xero_Entities[[#This Row],[Currency]]," - ",Xero_Entities[[#This Row],[PipeLine]])</f>
        <v>Valenta TT - TTD - Franchise Pipeline</v>
      </c>
      <c r="K18" s="2"/>
    </row>
    <row r="19" spans="1:11">
      <c r="K19" s="2"/>
    </row>
    <row r="20" spans="1:11">
      <c r="K20" s="2"/>
    </row>
    <row r="21" spans="1:11">
      <c r="K21" s="2"/>
    </row>
    <row r="22" spans="1:11">
      <c r="K22" s="2"/>
    </row>
    <row r="23" spans="1:11">
      <c r="K23" s="2"/>
    </row>
    <row r="24" spans="1:11">
      <c r="K24" s="2"/>
    </row>
    <row r="25" spans="1:11">
      <c r="K25" s="2"/>
    </row>
    <row r="26" spans="1:11">
      <c r="K26" s="2"/>
    </row>
    <row r="27" spans="1:11">
      <c r="K27" s="2"/>
    </row>
    <row r="28" spans="1:11">
      <c r="K28" s="2"/>
    </row>
    <row r="29" spans="1:11">
      <c r="K29" s="2"/>
    </row>
    <row r="30" spans="1:11">
      <c r="K30" s="2"/>
    </row>
    <row r="31" spans="1:11">
      <c r="K31" s="2"/>
    </row>
    <row r="32" spans="1:11">
      <c r="K32" s="2"/>
    </row>
    <row r="33" spans="11:11">
      <c r="K33" s="2"/>
    </row>
    <row r="34" spans="11:11">
      <c r="K34" s="2"/>
    </row>
    <row r="35" spans="11:11">
      <c r="K35" s="2"/>
    </row>
    <row r="36" spans="11:11">
      <c r="K36" s="2"/>
    </row>
    <row r="37" spans="11:11">
      <c r="K37" s="2"/>
    </row>
    <row r="38" spans="11:11">
      <c r="K38" s="2"/>
    </row>
    <row r="39" spans="11:11">
      <c r="K39" s="2"/>
    </row>
    <row r="40" spans="11:11">
      <c r="K40" s="2"/>
    </row>
    <row r="41" spans="11:11">
      <c r="K41" s="2"/>
    </row>
    <row r="42" spans="11:11">
      <c r="K42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148B-0B9B-443B-9640-E0693778E85E}">
  <dimension ref="A1:F185"/>
  <sheetViews>
    <sheetView tabSelected="1" workbookViewId="0">
      <selection activeCell="F185" sqref="F185"/>
    </sheetView>
  </sheetViews>
  <sheetFormatPr defaultRowHeight="15"/>
  <cols>
    <col min="1" max="1" width="36.28515625" bestFit="1" customWidth="1"/>
    <col min="2" max="2" width="11.5703125" bestFit="1" customWidth="1"/>
    <col min="3" max="3" width="17" bestFit="1" customWidth="1"/>
    <col min="4" max="4" width="22.42578125" bestFit="1" customWidth="1"/>
    <col min="5" max="5" width="24.140625" bestFit="1" customWidth="1"/>
    <col min="6" max="6" width="62.28515625" bestFit="1" customWidth="1"/>
  </cols>
  <sheetData>
    <row r="1" spans="1:6">
      <c r="A1" s="2" t="s">
        <v>69</v>
      </c>
      <c r="B1" s="2" t="s">
        <v>34</v>
      </c>
      <c r="C1" s="2" t="s">
        <v>70</v>
      </c>
      <c r="D1" s="2" t="s">
        <v>19</v>
      </c>
      <c r="E1" s="2" t="s">
        <v>18</v>
      </c>
      <c r="F1" s="2" t="s">
        <v>71</v>
      </c>
    </row>
    <row r="2" spans="1:6" hidden="1">
      <c r="A2" t="s">
        <v>72</v>
      </c>
      <c r="B2" t="s">
        <v>40</v>
      </c>
      <c r="C2" t="s">
        <v>41</v>
      </c>
      <c r="D2" t="s">
        <v>73</v>
      </c>
      <c r="E2">
        <v>4102</v>
      </c>
      <c r="F2" t="str">
        <f>+CONCATENATE(Xero_Tax_Acc[[#This Row],[Line Item]]," - ",Xero_Tax_Acc[[#This Row],[Currency]]," - ",Xero_Tax_Acc[[#This Row],[Pipeline]])</f>
        <v>FT Accountant - AUD - Sales Pipeline</v>
      </c>
    </row>
    <row r="3" spans="1:6" hidden="1">
      <c r="A3" t="s">
        <v>74</v>
      </c>
      <c r="B3" t="s">
        <v>40</v>
      </c>
      <c r="C3" t="s">
        <v>41</v>
      </c>
      <c r="D3" t="s">
        <v>73</v>
      </c>
      <c r="E3">
        <v>4102</v>
      </c>
      <c r="F3" t="str">
        <f>+CONCATENATE(Xero_Tax_Acc[[#This Row],[Line Item]]," - ",Xero_Tax_Acc[[#This Row],[Currency]]," - ",Xero_Tax_Acc[[#This Row],[Pipeline]])</f>
        <v>FT Zoho Developer - AUD - Sales Pipeline</v>
      </c>
    </row>
    <row r="4" spans="1:6" hidden="1">
      <c r="A4" t="s">
        <v>75</v>
      </c>
      <c r="B4" t="s">
        <v>40</v>
      </c>
      <c r="C4" t="s">
        <v>41</v>
      </c>
      <c r="D4" t="s">
        <v>73</v>
      </c>
      <c r="E4">
        <v>4103</v>
      </c>
      <c r="F4" t="str">
        <f>+CONCATENATE(Xero_Tax_Acc[[#This Row],[Line Item]]," - ",Xero_Tax_Acc[[#This Row],[Currency]]," - ",Xero_Tax_Acc[[#This Row],[Pipeline]])</f>
        <v>PT Wealth Management Paraplanner - AUD - Sales Pipeline</v>
      </c>
    </row>
    <row r="5" spans="1:6" hidden="1">
      <c r="A5" t="s">
        <v>76</v>
      </c>
      <c r="B5" t="s">
        <v>40</v>
      </c>
      <c r="C5" t="s">
        <v>41</v>
      </c>
      <c r="D5" t="s">
        <v>73</v>
      </c>
      <c r="E5">
        <v>4102</v>
      </c>
      <c r="F5" t="str">
        <f>+CONCATENATE(Xero_Tax_Acc[[#This Row],[Line Item]]," - ",Xero_Tax_Acc[[#This Row],[Currency]]," - ",Xero_Tax_Acc[[#This Row],[Pipeline]])</f>
        <v>FT Salesforce Developer - AUD - Sales Pipeline</v>
      </c>
    </row>
    <row r="6" spans="1:6" hidden="1">
      <c r="A6" t="s">
        <v>77</v>
      </c>
      <c r="B6" t="s">
        <v>40</v>
      </c>
      <c r="C6" t="s">
        <v>41</v>
      </c>
      <c r="D6" t="s">
        <v>73</v>
      </c>
      <c r="E6">
        <v>4102</v>
      </c>
      <c r="F6" t="str">
        <f>+CONCATENATE(Xero_Tax_Acc[[#This Row],[Line Item]]," - ",Xero_Tax_Acc[[#This Row],[Currency]]," - ",Xero_Tax_Acc[[#This Row],[Pipeline]])</f>
        <v>FT Wealth Management Paraplanner - AUD - Sales Pipeline</v>
      </c>
    </row>
    <row r="7" spans="1:6" hidden="1">
      <c r="A7" t="s">
        <v>78</v>
      </c>
      <c r="B7" t="s">
        <v>40</v>
      </c>
      <c r="C7" t="s">
        <v>41</v>
      </c>
      <c r="D7" t="s">
        <v>73</v>
      </c>
      <c r="E7">
        <v>4102</v>
      </c>
      <c r="F7" t="str">
        <f>+CONCATENATE(Xero_Tax_Acc[[#This Row],[Line Item]]," - ",Xero_Tax_Acc[[#This Row],[Currency]]," - ",Xero_Tax_Acc[[#This Row],[Pipeline]])</f>
        <v>Full Stack Developer - AUD - Sales Pipeline</v>
      </c>
    </row>
    <row r="8" spans="1:6" hidden="1">
      <c r="A8" t="s">
        <v>79</v>
      </c>
      <c r="B8" t="s">
        <v>40</v>
      </c>
      <c r="C8" t="s">
        <v>41</v>
      </c>
      <c r="D8" t="s">
        <v>73</v>
      </c>
      <c r="E8">
        <v>4105</v>
      </c>
      <c r="F8" t="str">
        <f>+CONCATENATE(Xero_Tax_Acc[[#This Row],[Line Item]]," - ",Xero_Tax_Acc[[#This Row],[Currency]]," - ",Xero_Tax_Acc[[#This Row],[Pipeline]])</f>
        <v>Custom Service - AUD - Sales Pipeline</v>
      </c>
    </row>
    <row r="9" spans="1:6" hidden="1">
      <c r="A9" t="s">
        <v>80</v>
      </c>
      <c r="B9" t="s">
        <v>40</v>
      </c>
      <c r="C9" t="s">
        <v>41</v>
      </c>
      <c r="D9" t="s">
        <v>73</v>
      </c>
      <c r="E9">
        <v>4103</v>
      </c>
      <c r="F9" t="str">
        <f>+CONCATENATE(Xero_Tax_Acc[[#This Row],[Line Item]]," - ",Xero_Tax_Acc[[#This Row],[Currency]]," - ",Xero_Tax_Acc[[#This Row],[Pipeline]])</f>
        <v>PT Wealth Management Virtual Assistant - AUD - Sales Pipeline</v>
      </c>
    </row>
    <row r="10" spans="1:6" hidden="1">
      <c r="A10" t="s">
        <v>81</v>
      </c>
      <c r="B10" t="s">
        <v>40</v>
      </c>
      <c r="C10" t="s">
        <v>41</v>
      </c>
      <c r="D10" t="s">
        <v>73</v>
      </c>
      <c r="E10">
        <v>4102</v>
      </c>
      <c r="F10" t="str">
        <f>+CONCATENATE(Xero_Tax_Acc[[#This Row],[Line Item]]," - ",Xero_Tax_Acc[[#This Row],[Currency]]," - ",Xero_Tax_Acc[[#This Row],[Pipeline]])</f>
        <v>FT Bookkeeping - AUD - Sales Pipeline</v>
      </c>
    </row>
    <row r="11" spans="1:6" hidden="1">
      <c r="A11" t="s">
        <v>82</v>
      </c>
      <c r="B11" t="s">
        <v>40</v>
      </c>
      <c r="C11" t="s">
        <v>41</v>
      </c>
      <c r="D11" t="s">
        <v>73</v>
      </c>
      <c r="E11">
        <v>4102</v>
      </c>
      <c r="F11" t="str">
        <f>+CONCATENATE(Xero_Tax_Acc[[#This Row],[Line Item]]," - ",Xero_Tax_Acc[[#This Row],[Currency]]," - ",Xero_Tax_Acc[[#This Row],[Pipeline]])</f>
        <v>Oracle HCM Cloud Developer - AUD - Sales Pipeline</v>
      </c>
    </row>
    <row r="12" spans="1:6" hidden="1">
      <c r="A12" t="s">
        <v>83</v>
      </c>
      <c r="B12" t="s">
        <v>40</v>
      </c>
      <c r="C12" t="s">
        <v>41</v>
      </c>
      <c r="D12" t="s">
        <v>73</v>
      </c>
      <c r="E12">
        <v>4103</v>
      </c>
      <c r="F12" t="str">
        <f>+CONCATENATE(Xero_Tax_Acc[[#This Row],[Line Item]]," - ",Xero_Tax_Acc[[#This Row],[Currency]]," - ",Xero_Tax_Acc[[#This Row],[Pipeline]])</f>
        <v>PT Zoho Developer - AUD - Sales Pipeline</v>
      </c>
    </row>
    <row r="13" spans="1:6" hidden="1">
      <c r="A13" t="s">
        <v>84</v>
      </c>
      <c r="B13" t="s">
        <v>40</v>
      </c>
      <c r="C13" t="s">
        <v>41</v>
      </c>
      <c r="D13" t="s">
        <v>73</v>
      </c>
      <c r="E13">
        <v>4105</v>
      </c>
      <c r="F13" t="str">
        <f>+CONCATENATE(Xero_Tax_Acc[[#This Row],[Line Item]]," - ",Xero_Tax_Acc[[#This Row],[Currency]]," - ",Xero_Tax_Acc[[#This Row],[Pipeline]])</f>
        <v>Full Time Custom Staff Aug - AUD - Sales Pipeline</v>
      </c>
    </row>
    <row r="14" spans="1:6" hidden="1">
      <c r="A14" t="s">
        <v>85</v>
      </c>
      <c r="B14" t="s">
        <v>40</v>
      </c>
      <c r="C14" t="s">
        <v>41</v>
      </c>
      <c r="D14" t="s">
        <v>73</v>
      </c>
      <c r="E14">
        <v>4102</v>
      </c>
      <c r="F14" t="str">
        <f>+CONCATENATE(Xero_Tax_Acc[[#This Row],[Line Item]]," - ",Xero_Tax_Acc[[#This Row],[Currency]]," - ",Xero_Tax_Acc[[#This Row],[Pipeline]])</f>
        <v>Full Time Medical Staff - AUD - Sales Pipeline</v>
      </c>
    </row>
    <row r="15" spans="1:6" hidden="1">
      <c r="A15" t="s">
        <v>86</v>
      </c>
      <c r="B15" t="s">
        <v>40</v>
      </c>
      <c r="C15" t="s">
        <v>41</v>
      </c>
      <c r="D15" t="s">
        <v>73</v>
      </c>
      <c r="E15">
        <v>4105</v>
      </c>
      <c r="F15" t="str">
        <f>+CONCATENATE(Xero_Tax_Acc[[#This Row],[Line Item]]," - ",Xero_Tax_Acc[[#This Row],[Currency]]," - ",Xero_Tax_Acc[[#This Row],[Pipeline]])</f>
        <v>Part Time Custom Staff Aug - AUD - Sales Pipeline</v>
      </c>
    </row>
    <row r="16" spans="1:6" hidden="1">
      <c r="A16" t="s">
        <v>87</v>
      </c>
      <c r="B16" t="s">
        <v>40</v>
      </c>
      <c r="C16" t="s">
        <v>41</v>
      </c>
      <c r="D16" t="s">
        <v>73</v>
      </c>
      <c r="E16">
        <v>4103</v>
      </c>
      <c r="F16" t="str">
        <f>+CONCATENATE(Xero_Tax_Acc[[#This Row],[Line Item]]," - ",Xero_Tax_Acc[[#This Row],[Currency]]," - ",Xero_Tax_Acc[[#This Row],[Pipeline]])</f>
        <v>PT Accountant - AUD - Sales Pipeline</v>
      </c>
    </row>
    <row r="17" spans="1:6" hidden="1">
      <c r="A17" t="s">
        <v>88</v>
      </c>
      <c r="B17" t="s">
        <v>40</v>
      </c>
      <c r="C17" t="s">
        <v>41</v>
      </c>
      <c r="D17" t="s">
        <v>73</v>
      </c>
      <c r="E17">
        <v>4102</v>
      </c>
      <c r="F17" t="str">
        <f>+CONCATENATE(Xero_Tax_Acc[[#This Row],[Line Item]]," - ",Xero_Tax_Acc[[#This Row],[Currency]]," - ",Xero_Tax_Acc[[#This Row],[Pipeline]])</f>
        <v>FT Wealth Management Virtual Assistant - AUD - Sales Pipeline</v>
      </c>
    </row>
    <row r="18" spans="1:6" hidden="1">
      <c r="A18" t="s">
        <v>89</v>
      </c>
      <c r="B18" t="s">
        <v>40</v>
      </c>
      <c r="C18" t="s">
        <v>41</v>
      </c>
      <c r="D18" t="s">
        <v>73</v>
      </c>
      <c r="E18">
        <v>4103</v>
      </c>
      <c r="F18" t="str">
        <f>+CONCATENATE(Xero_Tax_Acc[[#This Row],[Line Item]]," - ",Xero_Tax_Acc[[#This Row],[Currency]]," - ",Xero_Tax_Acc[[#This Row],[Pipeline]])</f>
        <v>PT Bookkeeping - AUD - Sales Pipeline</v>
      </c>
    </row>
    <row r="19" spans="1:6" hidden="1">
      <c r="A19" t="s">
        <v>90</v>
      </c>
      <c r="B19" t="s">
        <v>40</v>
      </c>
      <c r="C19" t="s">
        <v>41</v>
      </c>
      <c r="D19" t="s">
        <v>73</v>
      </c>
      <c r="E19">
        <v>4202</v>
      </c>
      <c r="F19" t="str">
        <f>+CONCATENATE(Xero_Tax_Acc[[#This Row],[Line Item]]," - ",Xero_Tax_Acc[[#This Row],[Currency]]," - ",Xero_Tax_Acc[[#This Row],[Pipeline]])</f>
        <v>Dedicated 24x7x365 Digital Assistant - AUD - Sales Pipeline</v>
      </c>
    </row>
    <row r="20" spans="1:6" hidden="1">
      <c r="A20" t="s">
        <v>91</v>
      </c>
      <c r="B20" t="s">
        <v>40</v>
      </c>
      <c r="C20" t="s">
        <v>41</v>
      </c>
      <c r="D20" t="s">
        <v>73</v>
      </c>
      <c r="E20">
        <v>4300</v>
      </c>
      <c r="F20" t="str">
        <f>+CONCATENATE(Xero_Tax_Acc[[#This Row],[Line Item]]," - ",Xero_Tax_Acc[[#This Row],[Currency]]," - ",Xero_Tax_Acc[[#This Row],[Pipeline]])</f>
        <v>Data Analytics Managed Service - AUD - Sales Pipeline</v>
      </c>
    </row>
    <row r="21" spans="1:6" hidden="1">
      <c r="A21" t="s">
        <v>92</v>
      </c>
      <c r="B21" t="s">
        <v>40</v>
      </c>
      <c r="C21" t="s">
        <v>41</v>
      </c>
      <c r="D21" t="s">
        <v>73</v>
      </c>
      <c r="E21">
        <v>4302</v>
      </c>
      <c r="F21" t="str">
        <f>+CONCATENATE(Xero_Tax_Acc[[#This Row],[Line Item]]," - ",Xero_Tax_Acc[[#This Row],[Currency]]," - ",Xero_Tax_Acc[[#This Row],[Pipeline]])</f>
        <v>Data Analytics Implementation - AUD - Sales Pipeline</v>
      </c>
    </row>
    <row r="22" spans="1:6" hidden="1">
      <c r="A22" t="s">
        <v>93</v>
      </c>
      <c r="B22" t="s">
        <v>40</v>
      </c>
      <c r="C22" t="s">
        <v>41</v>
      </c>
      <c r="D22" t="s">
        <v>73</v>
      </c>
      <c r="E22">
        <v>4102</v>
      </c>
      <c r="F22" t="str">
        <f>+CONCATENATE(Xero_Tax_Acc[[#This Row],[Line Item]]," - ",Xero_Tax_Acc[[#This Row],[Currency]]," - ",Xero_Tax_Acc[[#This Row],[Pipeline]])</f>
        <v>FT RPA Developer - AUD - Sales Pipeline</v>
      </c>
    </row>
    <row r="23" spans="1:6" hidden="1">
      <c r="A23" t="s">
        <v>94</v>
      </c>
      <c r="B23" t="s">
        <v>40</v>
      </c>
      <c r="C23" t="s">
        <v>41</v>
      </c>
      <c r="D23" t="s">
        <v>73</v>
      </c>
      <c r="E23">
        <v>4201</v>
      </c>
      <c r="F23" t="str">
        <f>+CONCATENATE(Xero_Tax_Acc[[#This Row],[Line Item]]," - ",Xero_Tax_Acc[[#This Row],[Currency]]," - ",Xero_Tax_Acc[[#This Row],[Pipeline]])</f>
        <v>DA Implementation Team - AUD - Sales Pipeline</v>
      </c>
    </row>
    <row r="24" spans="1:6" hidden="1">
      <c r="A24" t="s">
        <v>95</v>
      </c>
      <c r="B24" t="s">
        <v>40</v>
      </c>
      <c r="C24" t="s">
        <v>41</v>
      </c>
      <c r="D24" t="s">
        <v>73</v>
      </c>
      <c r="E24">
        <v>4202</v>
      </c>
      <c r="F24" t="str">
        <f>+CONCATENATE(Xero_Tax_Acc[[#This Row],[Line Item]]," - ",Xero_Tax_Acc[[#This Row],[Currency]]," - ",Xero_Tax_Acc[[#This Row],[Pipeline]])</f>
        <v>AI Data Extraction per page - AUD - Sales Pipeline</v>
      </c>
    </row>
    <row r="25" spans="1:6" hidden="1">
      <c r="A25" t="s">
        <v>96</v>
      </c>
      <c r="B25" t="s">
        <v>40</v>
      </c>
      <c r="C25" t="s">
        <v>41</v>
      </c>
      <c r="D25" t="s">
        <v>73</v>
      </c>
      <c r="E25">
        <v>4202</v>
      </c>
      <c r="F25" t="str">
        <f>+CONCATENATE(Xero_Tax_Acc[[#This Row],[Line Item]]," - ",Xero_Tax_Acc[[#This Row],[Currency]]," - ",Xero_Tax_Acc[[#This Row],[Pipeline]])</f>
        <v>Fractional Digital Assistant - AUD - Sales Pipeline</v>
      </c>
    </row>
    <row r="26" spans="1:6" hidden="1">
      <c r="A26" t="s">
        <v>97</v>
      </c>
      <c r="B26" t="s">
        <v>40</v>
      </c>
      <c r="C26" t="s">
        <v>41</v>
      </c>
      <c r="D26" t="s">
        <v>73</v>
      </c>
      <c r="E26">
        <v>4203</v>
      </c>
      <c r="F26" t="str">
        <f>+CONCATENATE(Xero_Tax_Acc[[#This Row],[Line Item]]," - ",Xero_Tax_Acc[[#This Row],[Currency]]," - ",Xero_Tax_Acc[[#This Row],[Pipeline]])</f>
        <v>AI Workshop - AUD - Sales Pipeline</v>
      </c>
    </row>
    <row r="27" spans="1:6" hidden="1">
      <c r="A27" t="s">
        <v>98</v>
      </c>
      <c r="B27" t="s">
        <v>40</v>
      </c>
      <c r="C27" t="s">
        <v>41</v>
      </c>
      <c r="D27" t="s">
        <v>73</v>
      </c>
      <c r="E27">
        <v>4102</v>
      </c>
      <c r="F27" t="str">
        <f>+CONCATENATE(Xero_Tax_Acc[[#This Row],[Line Item]]," - ",Xero_Tax_Acc[[#This Row],[Currency]]," - ",Xero_Tax_Acc[[#This Row],[Pipeline]])</f>
        <v>Background Verification Check Fee - AUD - Sales Pipeline</v>
      </c>
    </row>
    <row r="28" spans="1:6" hidden="1">
      <c r="A28" t="s">
        <v>99</v>
      </c>
      <c r="B28" t="s">
        <v>40</v>
      </c>
      <c r="C28" t="s">
        <v>41</v>
      </c>
      <c r="D28" t="s">
        <v>73</v>
      </c>
      <c r="E28">
        <v>4105</v>
      </c>
      <c r="F28" t="str">
        <f>+CONCATENATE(Xero_Tax_Acc[[#This Row],[Line Item]]," - ",Xero_Tax_Acc[[#This Row],[Currency]]," - ",Xero_Tax_Acc[[#This Row],[Pipeline]])</f>
        <v>Onboarding Setup - AUD - Sales Pipeline</v>
      </c>
    </row>
    <row r="29" spans="1:6" hidden="1">
      <c r="A29" t="s">
        <v>100</v>
      </c>
      <c r="B29" t="s">
        <v>40</v>
      </c>
      <c r="C29" t="s">
        <v>41</v>
      </c>
      <c r="D29" t="s">
        <v>73</v>
      </c>
      <c r="E29">
        <v>4102</v>
      </c>
      <c r="F29" t="str">
        <f>+CONCATENATE(Xero_Tax_Acc[[#This Row],[Line Item]]," - ",Xero_Tax_Acc[[#This Row],[Currency]]," - ",Xero_Tax_Acc[[#This Row],[Pipeline]])</f>
        <v>T&amp;M Staff Augmentation - AUD - Sales Pipeline</v>
      </c>
    </row>
    <row r="30" spans="1:6" hidden="1">
      <c r="A30" t="s">
        <v>101</v>
      </c>
      <c r="B30" t="s">
        <v>40</v>
      </c>
      <c r="C30" t="s">
        <v>41</v>
      </c>
      <c r="D30" t="s">
        <v>73</v>
      </c>
      <c r="E30">
        <v>4301</v>
      </c>
      <c r="F30" t="str">
        <f>+CONCATENATE(Xero_Tax_Acc[[#This Row],[Line Item]]," - ",Xero_Tax_Acc[[#This Row],[Currency]]," - ",Xero_Tax_Acc[[#This Row],[Pipeline]])</f>
        <v>Custom Data Analytics Consulting - T&amp;M - AUD - Sales Pipeline</v>
      </c>
    </row>
    <row r="31" spans="1:6" hidden="1">
      <c r="A31" t="s">
        <v>102</v>
      </c>
      <c r="B31" t="s">
        <v>40</v>
      </c>
      <c r="C31" t="s">
        <v>41</v>
      </c>
      <c r="D31" t="s">
        <v>73</v>
      </c>
      <c r="E31">
        <v>4300</v>
      </c>
      <c r="F31" t="str">
        <f>+CONCATENATE(Xero_Tax_Acc[[#This Row],[Line Item]]," - ",Xero_Tax_Acc[[#This Row],[Currency]]," - ",Xero_Tax_Acc[[#This Row],[Pipeline]])</f>
        <v>Data Analytics - Basic Maintenance - AUD - Sales Pipeline</v>
      </c>
    </row>
    <row r="32" spans="1:6" hidden="1">
      <c r="A32" t="s">
        <v>103</v>
      </c>
      <c r="B32" t="s">
        <v>40</v>
      </c>
      <c r="C32" t="s">
        <v>41</v>
      </c>
      <c r="D32" t="s">
        <v>73</v>
      </c>
      <c r="E32">
        <v>4300</v>
      </c>
      <c r="F32" t="str">
        <f>+CONCATENATE(Xero_Tax_Acc[[#This Row],[Line Item]]," - ",Xero_Tax_Acc[[#This Row],[Currency]]," - ",Xero_Tax_Acc[[#This Row],[Pipeline]])</f>
        <v>Data Analytics - Light Managed Service - AUD - Sales Pipeline</v>
      </c>
    </row>
    <row r="33" spans="1:6" hidden="1">
      <c r="A33" t="s">
        <v>104</v>
      </c>
      <c r="B33" t="s">
        <v>40</v>
      </c>
      <c r="C33" t="s">
        <v>41</v>
      </c>
      <c r="D33" t="s">
        <v>73</v>
      </c>
      <c r="E33">
        <v>4300</v>
      </c>
      <c r="F33" t="str">
        <f>+CONCATENATE(Xero_Tax_Acc[[#This Row],[Line Item]]," - ",Xero_Tax_Acc[[#This Row],[Currency]]," - ",Xero_Tax_Acc[[#This Row],[Pipeline]])</f>
        <v>Data Analytics - Managed Service - AUD - Sales Pipeline</v>
      </c>
    </row>
    <row r="34" spans="1:6" hidden="1">
      <c r="A34" t="s">
        <v>105</v>
      </c>
      <c r="B34" t="s">
        <v>40</v>
      </c>
      <c r="C34" t="s">
        <v>41</v>
      </c>
      <c r="D34" t="s">
        <v>73</v>
      </c>
      <c r="E34">
        <v>4302</v>
      </c>
      <c r="F34" t="str">
        <f>+CONCATENATE(Xero_Tax_Acc[[#This Row],[Line Item]]," - ",Xero_Tax_Acc[[#This Row],[Currency]]," - ",Xero_Tax_Acc[[#This Row],[Pipeline]])</f>
        <v>Data Analytics - Prototype Model - AUD - Sales Pipeline</v>
      </c>
    </row>
    <row r="35" spans="1:6" hidden="1">
      <c r="A35" t="s">
        <v>106</v>
      </c>
      <c r="B35" t="s">
        <v>40</v>
      </c>
      <c r="C35" t="s">
        <v>44</v>
      </c>
      <c r="D35" t="s">
        <v>73</v>
      </c>
      <c r="E35">
        <v>4400</v>
      </c>
      <c r="F35" t="str">
        <f>+CONCATENATE(Xero_Tax_Acc[[#This Row],[Line Item]]," - ",Xero_Tax_Acc[[#This Row],[Currency]]," - ",Xero_Tax_Acc[[#This Row],[Pipeline]])</f>
        <v>Reseller Monthly Fee - AUD - Reseller Pipeline</v>
      </c>
    </row>
    <row r="36" spans="1:6" hidden="1">
      <c r="A36" t="s">
        <v>107</v>
      </c>
      <c r="B36" t="s">
        <v>40</v>
      </c>
      <c r="C36" t="s">
        <v>43</v>
      </c>
      <c r="D36" t="s">
        <v>73</v>
      </c>
      <c r="E36">
        <v>401</v>
      </c>
      <c r="F36" t="str">
        <f>+CONCATENATE(Xero_Tax_Acc[[#This Row],[Line Item]]," - ",Xero_Tax_Acc[[#This Row],[Currency]]," - ",Xero_Tax_Acc[[#This Row],[Pipeline]])</f>
        <v>Franchise Setup Fee  - AUD - Franchise Pipeline</v>
      </c>
    </row>
    <row r="37" spans="1:6" hidden="1">
      <c r="A37" t="s">
        <v>108</v>
      </c>
      <c r="B37" t="s">
        <v>40</v>
      </c>
      <c r="C37" t="s">
        <v>43</v>
      </c>
      <c r="D37" t="s">
        <v>73</v>
      </c>
      <c r="E37">
        <v>402</v>
      </c>
      <c r="F37" t="str">
        <f>+CONCATENATE(Xero_Tax_Acc[[#This Row],[Line Item]]," - ",Xero_Tax_Acc[[#This Row],[Currency]]," - ",Xero_Tax_Acc[[#This Row],[Pipeline]])</f>
        <v>Monthly Lead Gen Tech Stack Fee - AUD - Franchise Pipeline</v>
      </c>
    </row>
    <row r="38" spans="1:6" hidden="1">
      <c r="A38" t="s">
        <v>109</v>
      </c>
      <c r="B38" t="s">
        <v>40</v>
      </c>
      <c r="C38" t="s">
        <v>43</v>
      </c>
      <c r="D38" t="s">
        <v>73</v>
      </c>
      <c r="E38">
        <v>403</v>
      </c>
      <c r="F38" t="str">
        <f>+CONCATENATE(Xero_Tax_Acc[[#This Row],[Line Item]]," - ",Xero_Tax_Acc[[#This Row],[Currency]]," - ",Xero_Tax_Acc[[#This Row],[Pipeline]])</f>
        <v>Monthly Advertisement Fee - AUD - Franchise Pipeline</v>
      </c>
    </row>
    <row r="39" spans="1:6">
      <c r="A39" t="s">
        <v>110</v>
      </c>
      <c r="B39" t="s">
        <v>40</v>
      </c>
      <c r="C39" t="s">
        <v>43</v>
      </c>
      <c r="D39" t="s">
        <v>73</v>
      </c>
      <c r="E39">
        <v>404</v>
      </c>
      <c r="F39" t="str">
        <f>+CONCATENATE(Xero_Tax_Acc[[#This Row],[Line Item]]," - ",Xero_Tax_Acc[[#This Row],[Currency]]," - ",Xero_Tax_Acc[[#This Row],[Pipeline]])</f>
        <v>Monthly Support Fee - AUD - Franchise Pipeline</v>
      </c>
    </row>
    <row r="40" spans="1:6" hidden="1">
      <c r="A40" t="s">
        <v>111</v>
      </c>
      <c r="B40" t="s">
        <v>40</v>
      </c>
      <c r="C40" t="s">
        <v>43</v>
      </c>
      <c r="D40" t="s">
        <v>73</v>
      </c>
      <c r="E40">
        <v>405</v>
      </c>
      <c r="F40" t="str">
        <f>+CONCATENATE(Xero_Tax_Acc[[#This Row],[Line Item]]," - ",Xero_Tax_Acc[[#This Row],[Currency]]," - ",Xero_Tax_Acc[[#This Row],[Pipeline]])</f>
        <v>Annual Conference Fee - AUD - Franchise Pipeline</v>
      </c>
    </row>
    <row r="41" spans="1:6" hidden="1">
      <c r="A41" t="s">
        <v>112</v>
      </c>
      <c r="B41" t="s">
        <v>40</v>
      </c>
      <c r="C41" t="s">
        <v>43</v>
      </c>
      <c r="D41" t="s">
        <v>73</v>
      </c>
      <c r="E41">
        <v>406</v>
      </c>
      <c r="F41" t="str">
        <f>+CONCATENATE(Xero_Tax_Acc[[#This Row],[Line Item]]," - ",Xero_Tax_Acc[[#This Row],[Currency]]," - ",Xero_Tax_Acc[[#This Row],[Pipeline]])</f>
        <v>Monthly Consultant Access Fee - AUD - Franchise Pipeline</v>
      </c>
    </row>
    <row r="42" spans="1:6" hidden="1">
      <c r="A42" t="s">
        <v>113</v>
      </c>
      <c r="B42" t="s">
        <v>40</v>
      </c>
      <c r="C42" t="s">
        <v>41</v>
      </c>
      <c r="D42" t="s">
        <v>73</v>
      </c>
      <c r="E42">
        <v>4202</v>
      </c>
      <c r="F42" t="str">
        <f>+CONCATENATE(Xero_Tax_Acc[[#This Row],[Line Item]]," - ",Xero_Tax_Acc[[#This Row],[Currency]]," - ",Xero_Tax_Acc[[#This Row],[Pipeline]])</f>
        <v>COMPLEX - Ai Powered Data Extraction - AUD - Sales Pipeline</v>
      </c>
    </row>
    <row r="43" spans="1:6" hidden="1">
      <c r="A43" t="s">
        <v>114</v>
      </c>
      <c r="B43" t="s">
        <v>40</v>
      </c>
      <c r="C43" t="s">
        <v>41</v>
      </c>
      <c r="D43" t="s">
        <v>73</v>
      </c>
      <c r="E43">
        <v>4202</v>
      </c>
      <c r="F43" t="str">
        <f>+CONCATENATE(Xero_Tax_Acc[[#This Row],[Line Item]]," - ",Xero_Tax_Acc[[#This Row],[Currency]]," - ",Xero_Tax_Acc[[#This Row],[Pipeline]])</f>
        <v>Ai Powered Data Extraction - AUD - Sales Pipeline</v>
      </c>
    </row>
    <row r="44" spans="1:6" hidden="1">
      <c r="A44" t="s">
        <v>115</v>
      </c>
      <c r="B44" t="s">
        <v>40</v>
      </c>
      <c r="C44" t="s">
        <v>41</v>
      </c>
      <c r="D44" t="s">
        <v>73</v>
      </c>
      <c r="E44">
        <v>4202</v>
      </c>
      <c r="F44" t="str">
        <f>+CONCATENATE(Xero_Tax_Acc[[#This Row],[Line Item]]," - ",Xero_Tax_Acc[[#This Row],[Currency]]," - ",Xero_Tax_Acc[[#This Row],[Pipeline]])</f>
        <v>Digital Assistant - upto 250k Executions - AUD - Sales Pipeline</v>
      </c>
    </row>
    <row r="45" spans="1:6" hidden="1">
      <c r="A45" t="s">
        <v>116</v>
      </c>
      <c r="B45" t="s">
        <v>40</v>
      </c>
      <c r="C45" t="s">
        <v>41</v>
      </c>
      <c r="D45" t="s">
        <v>73</v>
      </c>
      <c r="E45">
        <v>4202</v>
      </c>
      <c r="F45" t="str">
        <f>+CONCATENATE(Xero_Tax_Acc[[#This Row],[Line Item]]," - ",Xero_Tax_Acc[[#This Row],[Currency]]," - ",Xero_Tax_Acc[[#This Row],[Pipeline]])</f>
        <v>Digital Assistant - upto 100k Executions - AUD - Sales Pipeline</v>
      </c>
    </row>
    <row r="46" spans="1:6" hidden="1">
      <c r="A46" t="s">
        <v>117</v>
      </c>
      <c r="B46" t="s">
        <v>40</v>
      </c>
      <c r="C46" t="s">
        <v>41</v>
      </c>
      <c r="D46" t="s">
        <v>73</v>
      </c>
      <c r="E46">
        <v>4202</v>
      </c>
      <c r="F46" t="str">
        <f>+CONCATENATE(Xero_Tax_Acc[[#This Row],[Line Item]]," - ",Xero_Tax_Acc[[#This Row],[Currency]]," - ",Xero_Tax_Acc[[#This Row],[Pipeline]])</f>
        <v>Digital Assistant - upto 50k Executions - AUD - Sales Pipeline</v>
      </c>
    </row>
    <row r="47" spans="1:6" hidden="1">
      <c r="A47" t="s">
        <v>118</v>
      </c>
      <c r="B47" t="s">
        <v>40</v>
      </c>
      <c r="C47" t="s">
        <v>41</v>
      </c>
      <c r="D47" t="s">
        <v>73</v>
      </c>
      <c r="E47">
        <v>4202</v>
      </c>
      <c r="F47" t="str">
        <f>+CONCATENATE(Xero_Tax_Acc[[#This Row],[Line Item]]," - ",Xero_Tax_Acc[[#This Row],[Currency]]," - ",Xero_Tax_Acc[[#This Row],[Pipeline]])</f>
        <v>Digital Assistant - upto 10k Executions - AUD - Sales Pipeline</v>
      </c>
    </row>
    <row r="48" spans="1:6" hidden="1">
      <c r="A48" t="s">
        <v>119</v>
      </c>
      <c r="B48" t="s">
        <v>40</v>
      </c>
      <c r="C48" t="s">
        <v>120</v>
      </c>
      <c r="D48" t="s">
        <v>73</v>
      </c>
      <c r="E48">
        <v>4401</v>
      </c>
      <c r="F48" t="str">
        <f>+CONCATENATE(Xero_Tax_Acc[[#This Row],[Line Item]]," - ",Xero_Tax_Acc[[#This Row],[Currency]]," - ",Xero_Tax_Acc[[#This Row],[Pipeline]])</f>
        <v>MSP Reseller - AUD - MSP Pipeline</v>
      </c>
    </row>
    <row r="49" spans="1:6" hidden="1">
      <c r="A49" t="s">
        <v>121</v>
      </c>
      <c r="B49" t="s">
        <v>40</v>
      </c>
      <c r="C49" t="s">
        <v>120</v>
      </c>
      <c r="D49" t="s">
        <v>73</v>
      </c>
      <c r="E49">
        <v>4401</v>
      </c>
      <c r="F49" t="str">
        <f>+CONCATENATE(Xero_Tax_Acc[[#This Row],[Line Item]]," - ",Xero_Tax_Acc[[#This Row],[Currency]]," - ",Xero_Tax_Acc[[#This Row],[Pipeline]])</f>
        <v>MSP Referral Partner - AUD - MSP Pipeline</v>
      </c>
    </row>
    <row r="50" spans="1:6" hidden="1">
      <c r="A50" t="s">
        <v>122</v>
      </c>
      <c r="B50" t="s">
        <v>40</v>
      </c>
      <c r="C50" t="s">
        <v>120</v>
      </c>
      <c r="D50" t="s">
        <v>73</v>
      </c>
      <c r="E50">
        <v>4401</v>
      </c>
      <c r="F50" t="str">
        <f>+CONCATENATE(Xero_Tax_Acc[[#This Row],[Line Item]]," - ",Xero_Tax_Acc[[#This Row],[Currency]]," - ",Xero_Tax_Acc[[#This Row],[Pipeline]])</f>
        <v>MSP Service Delivery Partner - AUD - MSP Pipeline</v>
      </c>
    </row>
    <row r="51" spans="1:6" hidden="1">
      <c r="A51" t="s">
        <v>72</v>
      </c>
      <c r="B51" t="s">
        <v>47</v>
      </c>
      <c r="C51" t="s">
        <v>41</v>
      </c>
      <c r="D51" t="s">
        <v>123</v>
      </c>
      <c r="E51">
        <v>4102</v>
      </c>
      <c r="F51" t="str">
        <f>+CONCATENATE(Xero_Tax_Acc[[#This Row],[Line Item]]," - ",Xero_Tax_Acc[[#This Row],[Currency]]," - ",Xero_Tax_Acc[[#This Row],[Pipeline]])</f>
        <v>FT Accountant - NZD - Sales Pipeline</v>
      </c>
    </row>
    <row r="52" spans="1:6" hidden="1">
      <c r="A52" t="s">
        <v>74</v>
      </c>
      <c r="B52" t="s">
        <v>47</v>
      </c>
      <c r="C52" t="s">
        <v>41</v>
      </c>
      <c r="D52" t="s">
        <v>123</v>
      </c>
      <c r="E52">
        <v>4102</v>
      </c>
      <c r="F52" t="str">
        <f>+CONCATENATE(Xero_Tax_Acc[[#This Row],[Line Item]]," - ",Xero_Tax_Acc[[#This Row],[Currency]]," - ",Xero_Tax_Acc[[#This Row],[Pipeline]])</f>
        <v>FT Zoho Developer - NZD - Sales Pipeline</v>
      </c>
    </row>
    <row r="53" spans="1:6" hidden="1">
      <c r="A53" t="s">
        <v>75</v>
      </c>
      <c r="B53" t="s">
        <v>47</v>
      </c>
      <c r="C53" t="s">
        <v>41</v>
      </c>
      <c r="D53" t="s">
        <v>123</v>
      </c>
      <c r="E53">
        <v>4103</v>
      </c>
      <c r="F53" t="str">
        <f>+CONCATENATE(Xero_Tax_Acc[[#This Row],[Line Item]]," - ",Xero_Tax_Acc[[#This Row],[Currency]]," - ",Xero_Tax_Acc[[#This Row],[Pipeline]])</f>
        <v>PT Wealth Management Paraplanner - NZD - Sales Pipeline</v>
      </c>
    </row>
    <row r="54" spans="1:6" hidden="1">
      <c r="A54" t="s">
        <v>76</v>
      </c>
      <c r="B54" t="s">
        <v>47</v>
      </c>
      <c r="C54" t="s">
        <v>41</v>
      </c>
      <c r="D54" t="s">
        <v>123</v>
      </c>
      <c r="E54">
        <v>4102</v>
      </c>
      <c r="F54" t="str">
        <f>+CONCATENATE(Xero_Tax_Acc[[#This Row],[Line Item]]," - ",Xero_Tax_Acc[[#This Row],[Currency]]," - ",Xero_Tax_Acc[[#This Row],[Pipeline]])</f>
        <v>FT Salesforce Developer - NZD - Sales Pipeline</v>
      </c>
    </row>
    <row r="55" spans="1:6" hidden="1">
      <c r="A55" t="s">
        <v>77</v>
      </c>
      <c r="B55" t="s">
        <v>47</v>
      </c>
      <c r="C55" t="s">
        <v>41</v>
      </c>
      <c r="D55" t="s">
        <v>123</v>
      </c>
      <c r="E55">
        <v>4102</v>
      </c>
      <c r="F55" t="str">
        <f>+CONCATENATE(Xero_Tax_Acc[[#This Row],[Line Item]]," - ",Xero_Tax_Acc[[#This Row],[Currency]]," - ",Xero_Tax_Acc[[#This Row],[Pipeline]])</f>
        <v>FT Wealth Management Paraplanner - NZD - Sales Pipeline</v>
      </c>
    </row>
    <row r="56" spans="1:6" hidden="1">
      <c r="A56" t="s">
        <v>78</v>
      </c>
      <c r="B56" t="s">
        <v>47</v>
      </c>
      <c r="C56" t="s">
        <v>41</v>
      </c>
      <c r="D56" t="s">
        <v>123</v>
      </c>
      <c r="E56">
        <v>4102</v>
      </c>
      <c r="F56" t="str">
        <f>+CONCATENATE(Xero_Tax_Acc[[#This Row],[Line Item]]," - ",Xero_Tax_Acc[[#This Row],[Currency]]," - ",Xero_Tax_Acc[[#This Row],[Pipeline]])</f>
        <v>Full Stack Developer - NZD - Sales Pipeline</v>
      </c>
    </row>
    <row r="57" spans="1:6" hidden="1">
      <c r="A57" t="s">
        <v>79</v>
      </c>
      <c r="B57" t="s">
        <v>47</v>
      </c>
      <c r="C57" t="s">
        <v>41</v>
      </c>
      <c r="D57" t="s">
        <v>123</v>
      </c>
      <c r="E57">
        <v>4105</v>
      </c>
      <c r="F57" t="str">
        <f>+CONCATENATE(Xero_Tax_Acc[[#This Row],[Line Item]]," - ",Xero_Tax_Acc[[#This Row],[Currency]]," - ",Xero_Tax_Acc[[#This Row],[Pipeline]])</f>
        <v>Custom Service - NZD - Sales Pipeline</v>
      </c>
    </row>
    <row r="58" spans="1:6" hidden="1">
      <c r="A58" t="s">
        <v>80</v>
      </c>
      <c r="B58" t="s">
        <v>47</v>
      </c>
      <c r="C58" t="s">
        <v>41</v>
      </c>
      <c r="D58" t="s">
        <v>123</v>
      </c>
      <c r="E58">
        <v>4103</v>
      </c>
      <c r="F58" t="str">
        <f>+CONCATENATE(Xero_Tax_Acc[[#This Row],[Line Item]]," - ",Xero_Tax_Acc[[#This Row],[Currency]]," - ",Xero_Tax_Acc[[#This Row],[Pipeline]])</f>
        <v>PT Wealth Management Virtual Assistant - NZD - Sales Pipeline</v>
      </c>
    </row>
    <row r="59" spans="1:6" hidden="1">
      <c r="A59" t="s">
        <v>81</v>
      </c>
      <c r="B59" t="s">
        <v>47</v>
      </c>
      <c r="C59" t="s">
        <v>41</v>
      </c>
      <c r="D59" t="s">
        <v>123</v>
      </c>
      <c r="E59">
        <v>4102</v>
      </c>
      <c r="F59" t="str">
        <f>+CONCATENATE(Xero_Tax_Acc[[#This Row],[Line Item]]," - ",Xero_Tax_Acc[[#This Row],[Currency]]," - ",Xero_Tax_Acc[[#This Row],[Pipeline]])</f>
        <v>FT Bookkeeping - NZD - Sales Pipeline</v>
      </c>
    </row>
    <row r="60" spans="1:6" hidden="1">
      <c r="A60" t="s">
        <v>82</v>
      </c>
      <c r="B60" t="s">
        <v>47</v>
      </c>
      <c r="C60" t="s">
        <v>41</v>
      </c>
      <c r="D60" t="s">
        <v>123</v>
      </c>
      <c r="E60">
        <v>4102</v>
      </c>
      <c r="F60" t="str">
        <f>+CONCATENATE(Xero_Tax_Acc[[#This Row],[Line Item]]," - ",Xero_Tax_Acc[[#This Row],[Currency]]," - ",Xero_Tax_Acc[[#This Row],[Pipeline]])</f>
        <v>Oracle HCM Cloud Developer - NZD - Sales Pipeline</v>
      </c>
    </row>
    <row r="61" spans="1:6" hidden="1">
      <c r="A61" t="s">
        <v>83</v>
      </c>
      <c r="B61" t="s">
        <v>47</v>
      </c>
      <c r="C61" t="s">
        <v>41</v>
      </c>
      <c r="D61" t="s">
        <v>123</v>
      </c>
      <c r="E61">
        <v>4103</v>
      </c>
      <c r="F61" t="str">
        <f>+CONCATENATE(Xero_Tax_Acc[[#This Row],[Line Item]]," - ",Xero_Tax_Acc[[#This Row],[Currency]]," - ",Xero_Tax_Acc[[#This Row],[Pipeline]])</f>
        <v>PT Zoho Developer - NZD - Sales Pipeline</v>
      </c>
    </row>
    <row r="62" spans="1:6" hidden="1">
      <c r="A62" t="s">
        <v>84</v>
      </c>
      <c r="B62" t="s">
        <v>47</v>
      </c>
      <c r="C62" t="s">
        <v>41</v>
      </c>
      <c r="D62" t="s">
        <v>123</v>
      </c>
      <c r="E62">
        <v>4105</v>
      </c>
      <c r="F62" t="str">
        <f>+CONCATENATE(Xero_Tax_Acc[[#This Row],[Line Item]]," - ",Xero_Tax_Acc[[#This Row],[Currency]]," - ",Xero_Tax_Acc[[#This Row],[Pipeline]])</f>
        <v>Full Time Custom Staff Aug - NZD - Sales Pipeline</v>
      </c>
    </row>
    <row r="63" spans="1:6" hidden="1">
      <c r="A63" t="s">
        <v>85</v>
      </c>
      <c r="B63" t="s">
        <v>47</v>
      </c>
      <c r="C63" t="s">
        <v>41</v>
      </c>
      <c r="D63" t="s">
        <v>123</v>
      </c>
      <c r="E63">
        <v>4102</v>
      </c>
      <c r="F63" t="str">
        <f>+CONCATENATE(Xero_Tax_Acc[[#This Row],[Line Item]]," - ",Xero_Tax_Acc[[#This Row],[Currency]]," - ",Xero_Tax_Acc[[#This Row],[Pipeline]])</f>
        <v>Full Time Medical Staff - NZD - Sales Pipeline</v>
      </c>
    </row>
    <row r="64" spans="1:6" hidden="1">
      <c r="A64" t="s">
        <v>86</v>
      </c>
      <c r="B64" t="s">
        <v>47</v>
      </c>
      <c r="C64" t="s">
        <v>41</v>
      </c>
      <c r="D64" t="s">
        <v>123</v>
      </c>
      <c r="E64">
        <v>4105</v>
      </c>
      <c r="F64" t="str">
        <f>+CONCATENATE(Xero_Tax_Acc[[#This Row],[Line Item]]," - ",Xero_Tax_Acc[[#This Row],[Currency]]," - ",Xero_Tax_Acc[[#This Row],[Pipeline]])</f>
        <v>Part Time Custom Staff Aug - NZD - Sales Pipeline</v>
      </c>
    </row>
    <row r="65" spans="1:6" hidden="1">
      <c r="A65" t="s">
        <v>87</v>
      </c>
      <c r="B65" t="s">
        <v>47</v>
      </c>
      <c r="C65" t="s">
        <v>41</v>
      </c>
      <c r="D65" t="s">
        <v>123</v>
      </c>
      <c r="E65">
        <v>4103</v>
      </c>
      <c r="F65" t="str">
        <f>+CONCATENATE(Xero_Tax_Acc[[#This Row],[Line Item]]," - ",Xero_Tax_Acc[[#This Row],[Currency]]," - ",Xero_Tax_Acc[[#This Row],[Pipeline]])</f>
        <v>PT Accountant - NZD - Sales Pipeline</v>
      </c>
    </row>
    <row r="66" spans="1:6" hidden="1">
      <c r="A66" t="s">
        <v>88</v>
      </c>
      <c r="B66" t="s">
        <v>47</v>
      </c>
      <c r="C66" t="s">
        <v>41</v>
      </c>
      <c r="D66" t="s">
        <v>123</v>
      </c>
      <c r="E66">
        <v>4102</v>
      </c>
      <c r="F66" t="str">
        <f>+CONCATENATE(Xero_Tax_Acc[[#This Row],[Line Item]]," - ",Xero_Tax_Acc[[#This Row],[Currency]]," - ",Xero_Tax_Acc[[#This Row],[Pipeline]])</f>
        <v>FT Wealth Management Virtual Assistant - NZD - Sales Pipeline</v>
      </c>
    </row>
    <row r="67" spans="1:6" hidden="1">
      <c r="A67" t="s">
        <v>89</v>
      </c>
      <c r="B67" t="s">
        <v>47</v>
      </c>
      <c r="C67" t="s">
        <v>41</v>
      </c>
      <c r="D67" t="s">
        <v>123</v>
      </c>
      <c r="E67">
        <v>4103</v>
      </c>
      <c r="F67" t="str">
        <f>+CONCATENATE(Xero_Tax_Acc[[#This Row],[Line Item]]," - ",Xero_Tax_Acc[[#This Row],[Currency]]," - ",Xero_Tax_Acc[[#This Row],[Pipeline]])</f>
        <v>PT Bookkeeping - NZD - Sales Pipeline</v>
      </c>
    </row>
    <row r="68" spans="1:6" hidden="1">
      <c r="A68" t="s">
        <v>90</v>
      </c>
      <c r="B68" t="s">
        <v>47</v>
      </c>
      <c r="C68" t="s">
        <v>41</v>
      </c>
      <c r="D68" t="s">
        <v>123</v>
      </c>
      <c r="E68">
        <v>4202</v>
      </c>
      <c r="F68" t="str">
        <f>+CONCATENATE(Xero_Tax_Acc[[#This Row],[Line Item]]," - ",Xero_Tax_Acc[[#This Row],[Currency]]," - ",Xero_Tax_Acc[[#This Row],[Pipeline]])</f>
        <v>Dedicated 24x7x365 Digital Assistant - NZD - Sales Pipeline</v>
      </c>
    </row>
    <row r="69" spans="1:6" hidden="1">
      <c r="A69" t="s">
        <v>91</v>
      </c>
      <c r="B69" t="s">
        <v>47</v>
      </c>
      <c r="C69" t="s">
        <v>41</v>
      </c>
      <c r="D69" t="s">
        <v>123</v>
      </c>
      <c r="E69">
        <v>4300</v>
      </c>
      <c r="F69" t="str">
        <f>+CONCATENATE(Xero_Tax_Acc[[#This Row],[Line Item]]," - ",Xero_Tax_Acc[[#This Row],[Currency]]," - ",Xero_Tax_Acc[[#This Row],[Pipeline]])</f>
        <v>Data Analytics Managed Service - NZD - Sales Pipeline</v>
      </c>
    </row>
    <row r="70" spans="1:6" hidden="1">
      <c r="A70" t="s">
        <v>92</v>
      </c>
      <c r="B70" t="s">
        <v>47</v>
      </c>
      <c r="C70" t="s">
        <v>41</v>
      </c>
      <c r="D70" t="s">
        <v>123</v>
      </c>
      <c r="E70">
        <v>4302</v>
      </c>
      <c r="F70" t="str">
        <f>+CONCATENATE(Xero_Tax_Acc[[#This Row],[Line Item]]," - ",Xero_Tax_Acc[[#This Row],[Currency]]," - ",Xero_Tax_Acc[[#This Row],[Pipeline]])</f>
        <v>Data Analytics Implementation - NZD - Sales Pipeline</v>
      </c>
    </row>
    <row r="71" spans="1:6" hidden="1">
      <c r="A71" t="s">
        <v>93</v>
      </c>
      <c r="B71" t="s">
        <v>47</v>
      </c>
      <c r="C71" t="s">
        <v>41</v>
      </c>
      <c r="D71" t="s">
        <v>123</v>
      </c>
      <c r="E71">
        <v>4102</v>
      </c>
      <c r="F71" t="str">
        <f>+CONCATENATE(Xero_Tax_Acc[[#This Row],[Line Item]]," - ",Xero_Tax_Acc[[#This Row],[Currency]]," - ",Xero_Tax_Acc[[#This Row],[Pipeline]])</f>
        <v>FT RPA Developer - NZD - Sales Pipeline</v>
      </c>
    </row>
    <row r="72" spans="1:6" hidden="1">
      <c r="A72" t="s">
        <v>94</v>
      </c>
      <c r="B72" t="s">
        <v>47</v>
      </c>
      <c r="C72" t="s">
        <v>41</v>
      </c>
      <c r="D72" t="s">
        <v>123</v>
      </c>
      <c r="E72">
        <v>4201</v>
      </c>
      <c r="F72" t="str">
        <f>+CONCATENATE(Xero_Tax_Acc[[#This Row],[Line Item]]," - ",Xero_Tax_Acc[[#This Row],[Currency]]," - ",Xero_Tax_Acc[[#This Row],[Pipeline]])</f>
        <v>DA Implementation Team - NZD - Sales Pipeline</v>
      </c>
    </row>
    <row r="73" spans="1:6" hidden="1">
      <c r="A73" t="s">
        <v>95</v>
      </c>
      <c r="B73" t="s">
        <v>47</v>
      </c>
      <c r="C73" t="s">
        <v>41</v>
      </c>
      <c r="D73" t="s">
        <v>123</v>
      </c>
      <c r="E73">
        <v>4202</v>
      </c>
      <c r="F73" t="str">
        <f>+CONCATENATE(Xero_Tax_Acc[[#This Row],[Line Item]]," - ",Xero_Tax_Acc[[#This Row],[Currency]]," - ",Xero_Tax_Acc[[#This Row],[Pipeline]])</f>
        <v>AI Data Extraction per page - NZD - Sales Pipeline</v>
      </c>
    </row>
    <row r="74" spans="1:6" hidden="1">
      <c r="A74" t="s">
        <v>96</v>
      </c>
      <c r="B74" t="s">
        <v>47</v>
      </c>
      <c r="C74" t="s">
        <v>41</v>
      </c>
      <c r="D74" t="s">
        <v>123</v>
      </c>
      <c r="E74">
        <v>4202</v>
      </c>
      <c r="F74" t="str">
        <f>+CONCATENATE(Xero_Tax_Acc[[#This Row],[Line Item]]," - ",Xero_Tax_Acc[[#This Row],[Currency]]," - ",Xero_Tax_Acc[[#This Row],[Pipeline]])</f>
        <v>Fractional Digital Assistant - NZD - Sales Pipeline</v>
      </c>
    </row>
    <row r="75" spans="1:6" hidden="1">
      <c r="A75" t="s">
        <v>97</v>
      </c>
      <c r="B75" t="s">
        <v>47</v>
      </c>
      <c r="C75" t="s">
        <v>41</v>
      </c>
      <c r="D75" t="s">
        <v>123</v>
      </c>
      <c r="E75">
        <v>4203</v>
      </c>
      <c r="F75" t="str">
        <f>+CONCATENATE(Xero_Tax_Acc[[#This Row],[Line Item]]," - ",Xero_Tax_Acc[[#This Row],[Currency]]," - ",Xero_Tax_Acc[[#This Row],[Pipeline]])</f>
        <v>AI Workshop - NZD - Sales Pipeline</v>
      </c>
    </row>
    <row r="76" spans="1:6" hidden="1">
      <c r="A76" t="s">
        <v>98</v>
      </c>
      <c r="B76" t="s">
        <v>47</v>
      </c>
      <c r="C76" t="s">
        <v>41</v>
      </c>
      <c r="D76" t="s">
        <v>123</v>
      </c>
      <c r="E76">
        <v>4102</v>
      </c>
      <c r="F76" t="str">
        <f>+CONCATENATE(Xero_Tax_Acc[[#This Row],[Line Item]]," - ",Xero_Tax_Acc[[#This Row],[Currency]]," - ",Xero_Tax_Acc[[#This Row],[Pipeline]])</f>
        <v>Background Verification Check Fee - NZD - Sales Pipeline</v>
      </c>
    </row>
    <row r="77" spans="1:6" hidden="1">
      <c r="A77" t="s">
        <v>99</v>
      </c>
      <c r="B77" t="s">
        <v>47</v>
      </c>
      <c r="C77" t="s">
        <v>41</v>
      </c>
      <c r="D77" t="s">
        <v>123</v>
      </c>
      <c r="E77">
        <v>4105</v>
      </c>
      <c r="F77" t="str">
        <f>+CONCATENATE(Xero_Tax_Acc[[#This Row],[Line Item]]," - ",Xero_Tax_Acc[[#This Row],[Currency]]," - ",Xero_Tax_Acc[[#This Row],[Pipeline]])</f>
        <v>Onboarding Setup - NZD - Sales Pipeline</v>
      </c>
    </row>
    <row r="78" spans="1:6" hidden="1">
      <c r="A78" t="s">
        <v>100</v>
      </c>
      <c r="B78" t="s">
        <v>47</v>
      </c>
      <c r="C78" t="s">
        <v>41</v>
      </c>
      <c r="D78" t="s">
        <v>123</v>
      </c>
      <c r="E78">
        <v>4102</v>
      </c>
      <c r="F78" t="str">
        <f>+CONCATENATE(Xero_Tax_Acc[[#This Row],[Line Item]]," - ",Xero_Tax_Acc[[#This Row],[Currency]]," - ",Xero_Tax_Acc[[#This Row],[Pipeline]])</f>
        <v>T&amp;M Staff Augmentation - NZD - Sales Pipeline</v>
      </c>
    </row>
    <row r="79" spans="1:6" hidden="1">
      <c r="A79" t="s">
        <v>101</v>
      </c>
      <c r="B79" t="s">
        <v>47</v>
      </c>
      <c r="C79" t="s">
        <v>41</v>
      </c>
      <c r="D79" t="s">
        <v>123</v>
      </c>
      <c r="E79">
        <v>4301</v>
      </c>
      <c r="F79" t="str">
        <f>+CONCATENATE(Xero_Tax_Acc[[#This Row],[Line Item]]," - ",Xero_Tax_Acc[[#This Row],[Currency]]," - ",Xero_Tax_Acc[[#This Row],[Pipeline]])</f>
        <v>Custom Data Analytics Consulting - T&amp;M - NZD - Sales Pipeline</v>
      </c>
    </row>
    <row r="80" spans="1:6" hidden="1">
      <c r="A80" t="s">
        <v>102</v>
      </c>
      <c r="B80" t="s">
        <v>47</v>
      </c>
      <c r="C80" t="s">
        <v>41</v>
      </c>
      <c r="D80" t="s">
        <v>123</v>
      </c>
      <c r="E80">
        <v>4300</v>
      </c>
      <c r="F80" t="str">
        <f>+CONCATENATE(Xero_Tax_Acc[[#This Row],[Line Item]]," - ",Xero_Tax_Acc[[#This Row],[Currency]]," - ",Xero_Tax_Acc[[#This Row],[Pipeline]])</f>
        <v>Data Analytics - Basic Maintenance - NZD - Sales Pipeline</v>
      </c>
    </row>
    <row r="81" spans="1:6" hidden="1">
      <c r="A81" t="s">
        <v>103</v>
      </c>
      <c r="B81" t="s">
        <v>47</v>
      </c>
      <c r="C81" t="s">
        <v>41</v>
      </c>
      <c r="D81" t="s">
        <v>123</v>
      </c>
      <c r="E81">
        <v>4300</v>
      </c>
      <c r="F81" t="str">
        <f>+CONCATENATE(Xero_Tax_Acc[[#This Row],[Line Item]]," - ",Xero_Tax_Acc[[#This Row],[Currency]]," - ",Xero_Tax_Acc[[#This Row],[Pipeline]])</f>
        <v>Data Analytics - Light Managed Service - NZD - Sales Pipeline</v>
      </c>
    </row>
    <row r="82" spans="1:6" hidden="1">
      <c r="A82" t="s">
        <v>104</v>
      </c>
      <c r="B82" t="s">
        <v>47</v>
      </c>
      <c r="C82" t="s">
        <v>41</v>
      </c>
      <c r="D82" t="s">
        <v>123</v>
      </c>
      <c r="E82">
        <v>4300</v>
      </c>
      <c r="F82" t="str">
        <f>+CONCATENATE(Xero_Tax_Acc[[#This Row],[Line Item]]," - ",Xero_Tax_Acc[[#This Row],[Currency]]," - ",Xero_Tax_Acc[[#This Row],[Pipeline]])</f>
        <v>Data Analytics - Managed Service - NZD - Sales Pipeline</v>
      </c>
    </row>
    <row r="83" spans="1:6" hidden="1">
      <c r="A83" t="s">
        <v>105</v>
      </c>
      <c r="B83" t="s">
        <v>47</v>
      </c>
      <c r="C83" t="s">
        <v>41</v>
      </c>
      <c r="D83" t="s">
        <v>123</v>
      </c>
      <c r="E83">
        <v>4302</v>
      </c>
      <c r="F83" t="str">
        <f>+CONCATENATE(Xero_Tax_Acc[[#This Row],[Line Item]]," - ",Xero_Tax_Acc[[#This Row],[Currency]]," - ",Xero_Tax_Acc[[#This Row],[Pipeline]])</f>
        <v>Data Analytics - Prototype Model - NZD - Sales Pipeline</v>
      </c>
    </row>
    <row r="84" spans="1:6" hidden="1">
      <c r="A84" t="s">
        <v>106</v>
      </c>
      <c r="B84" t="s">
        <v>47</v>
      </c>
      <c r="C84" t="s">
        <v>44</v>
      </c>
      <c r="D84" t="s">
        <v>123</v>
      </c>
      <c r="E84">
        <v>4400</v>
      </c>
      <c r="F84" t="str">
        <f>+CONCATENATE(Xero_Tax_Acc[[#This Row],[Line Item]]," - ",Xero_Tax_Acc[[#This Row],[Currency]]," - ",Xero_Tax_Acc[[#This Row],[Pipeline]])</f>
        <v>Reseller Monthly Fee - NZD - Reseller Pipeline</v>
      </c>
    </row>
    <row r="85" spans="1:6" hidden="1">
      <c r="A85" t="s">
        <v>107</v>
      </c>
      <c r="B85" t="s">
        <v>47</v>
      </c>
      <c r="C85" t="s">
        <v>43</v>
      </c>
      <c r="D85" t="s">
        <v>124</v>
      </c>
      <c r="E85">
        <v>401</v>
      </c>
      <c r="F85" t="str">
        <f>+CONCATENATE(Xero_Tax_Acc[[#This Row],[Line Item]]," - ",Xero_Tax_Acc[[#This Row],[Currency]]," - ",Xero_Tax_Acc[[#This Row],[Pipeline]])</f>
        <v>Franchise Setup Fee  - NZD - Franchise Pipeline</v>
      </c>
    </row>
    <row r="86" spans="1:6" hidden="1">
      <c r="A86" t="s">
        <v>108</v>
      </c>
      <c r="B86" t="s">
        <v>47</v>
      </c>
      <c r="C86" t="s">
        <v>43</v>
      </c>
      <c r="D86" t="s">
        <v>124</v>
      </c>
      <c r="E86">
        <v>402</v>
      </c>
      <c r="F86" t="str">
        <f>+CONCATENATE(Xero_Tax_Acc[[#This Row],[Line Item]]," - ",Xero_Tax_Acc[[#This Row],[Currency]]," - ",Xero_Tax_Acc[[#This Row],[Pipeline]])</f>
        <v>Monthly Lead Gen Tech Stack Fee - NZD - Franchise Pipeline</v>
      </c>
    </row>
    <row r="87" spans="1:6" hidden="1">
      <c r="A87" t="s">
        <v>109</v>
      </c>
      <c r="B87" t="s">
        <v>47</v>
      </c>
      <c r="C87" t="s">
        <v>43</v>
      </c>
      <c r="D87" t="s">
        <v>124</v>
      </c>
      <c r="E87">
        <v>403</v>
      </c>
      <c r="F87" t="str">
        <f>+CONCATENATE(Xero_Tax_Acc[[#This Row],[Line Item]]," - ",Xero_Tax_Acc[[#This Row],[Currency]]," - ",Xero_Tax_Acc[[#This Row],[Pipeline]])</f>
        <v>Monthly Advertisement Fee - NZD - Franchise Pipeline</v>
      </c>
    </row>
    <row r="88" spans="1:6">
      <c r="A88" t="s">
        <v>110</v>
      </c>
      <c r="B88" t="s">
        <v>47</v>
      </c>
      <c r="C88" t="s">
        <v>43</v>
      </c>
      <c r="D88" t="s">
        <v>124</v>
      </c>
      <c r="E88">
        <v>404</v>
      </c>
      <c r="F88" t="str">
        <f>+CONCATENATE(Xero_Tax_Acc[[#This Row],[Line Item]]," - ",Xero_Tax_Acc[[#This Row],[Currency]]," - ",Xero_Tax_Acc[[#This Row],[Pipeline]])</f>
        <v>Monthly Support Fee - NZD - Franchise Pipeline</v>
      </c>
    </row>
    <row r="89" spans="1:6" hidden="1">
      <c r="A89" t="s">
        <v>111</v>
      </c>
      <c r="B89" t="s">
        <v>47</v>
      </c>
      <c r="C89" t="s">
        <v>43</v>
      </c>
      <c r="D89" t="s">
        <v>124</v>
      </c>
      <c r="E89">
        <v>405</v>
      </c>
      <c r="F89" t="str">
        <f>+CONCATENATE(Xero_Tax_Acc[[#This Row],[Line Item]]," - ",Xero_Tax_Acc[[#This Row],[Currency]]," - ",Xero_Tax_Acc[[#This Row],[Pipeline]])</f>
        <v>Annual Conference Fee - NZD - Franchise Pipeline</v>
      </c>
    </row>
    <row r="90" spans="1:6" hidden="1">
      <c r="A90" t="s">
        <v>112</v>
      </c>
      <c r="B90" t="s">
        <v>47</v>
      </c>
      <c r="C90" t="s">
        <v>43</v>
      </c>
      <c r="D90" t="s">
        <v>124</v>
      </c>
      <c r="E90">
        <v>406</v>
      </c>
      <c r="F90" t="str">
        <f>+CONCATENATE(Xero_Tax_Acc[[#This Row],[Line Item]]," - ",Xero_Tax_Acc[[#This Row],[Currency]]," - ",Xero_Tax_Acc[[#This Row],[Pipeline]])</f>
        <v>Monthly Consultant Access Fee - NZD - Franchise Pipeline</v>
      </c>
    </row>
    <row r="91" spans="1:6" hidden="1">
      <c r="A91" t="s">
        <v>113</v>
      </c>
      <c r="B91" t="s">
        <v>47</v>
      </c>
      <c r="C91" t="s">
        <v>41</v>
      </c>
      <c r="D91" t="s">
        <v>123</v>
      </c>
      <c r="E91">
        <v>4202</v>
      </c>
      <c r="F91" t="str">
        <f>+CONCATENATE(Xero_Tax_Acc[[#This Row],[Line Item]]," - ",Xero_Tax_Acc[[#This Row],[Currency]]," - ",Xero_Tax_Acc[[#This Row],[Pipeline]])</f>
        <v>COMPLEX - Ai Powered Data Extraction - NZD - Sales Pipeline</v>
      </c>
    </row>
    <row r="92" spans="1:6" hidden="1">
      <c r="A92" t="s">
        <v>114</v>
      </c>
      <c r="B92" t="s">
        <v>47</v>
      </c>
      <c r="C92" t="s">
        <v>41</v>
      </c>
      <c r="D92" t="s">
        <v>123</v>
      </c>
      <c r="E92">
        <v>4202</v>
      </c>
      <c r="F92" t="str">
        <f>+CONCATENATE(Xero_Tax_Acc[[#This Row],[Line Item]]," - ",Xero_Tax_Acc[[#This Row],[Currency]]," - ",Xero_Tax_Acc[[#This Row],[Pipeline]])</f>
        <v>Ai Powered Data Extraction - NZD - Sales Pipeline</v>
      </c>
    </row>
    <row r="93" spans="1:6" hidden="1">
      <c r="A93" t="s">
        <v>115</v>
      </c>
      <c r="B93" t="s">
        <v>47</v>
      </c>
      <c r="C93" t="s">
        <v>41</v>
      </c>
      <c r="D93" t="s">
        <v>123</v>
      </c>
      <c r="E93">
        <v>4202</v>
      </c>
      <c r="F93" t="str">
        <f>+CONCATENATE(Xero_Tax_Acc[[#This Row],[Line Item]]," - ",Xero_Tax_Acc[[#This Row],[Currency]]," - ",Xero_Tax_Acc[[#This Row],[Pipeline]])</f>
        <v>Digital Assistant - upto 250k Executions - NZD - Sales Pipeline</v>
      </c>
    </row>
    <row r="94" spans="1:6" hidden="1">
      <c r="A94" t="s">
        <v>116</v>
      </c>
      <c r="B94" t="s">
        <v>47</v>
      </c>
      <c r="C94" t="s">
        <v>41</v>
      </c>
      <c r="D94" t="s">
        <v>123</v>
      </c>
      <c r="E94">
        <v>4202</v>
      </c>
      <c r="F94" t="str">
        <f>+CONCATENATE(Xero_Tax_Acc[[#This Row],[Line Item]]," - ",Xero_Tax_Acc[[#This Row],[Currency]]," - ",Xero_Tax_Acc[[#This Row],[Pipeline]])</f>
        <v>Digital Assistant - upto 100k Executions - NZD - Sales Pipeline</v>
      </c>
    </row>
    <row r="95" spans="1:6" hidden="1">
      <c r="A95" t="s">
        <v>117</v>
      </c>
      <c r="B95" t="s">
        <v>47</v>
      </c>
      <c r="C95" t="s">
        <v>41</v>
      </c>
      <c r="D95" t="s">
        <v>123</v>
      </c>
      <c r="E95">
        <v>4202</v>
      </c>
      <c r="F95" t="str">
        <f>+CONCATENATE(Xero_Tax_Acc[[#This Row],[Line Item]]," - ",Xero_Tax_Acc[[#This Row],[Currency]]," - ",Xero_Tax_Acc[[#This Row],[Pipeline]])</f>
        <v>Digital Assistant - upto 50k Executions - NZD - Sales Pipeline</v>
      </c>
    </row>
    <row r="96" spans="1:6" hidden="1">
      <c r="A96" t="s">
        <v>118</v>
      </c>
      <c r="B96" t="s">
        <v>47</v>
      </c>
      <c r="C96" t="s">
        <v>41</v>
      </c>
      <c r="D96" t="s">
        <v>123</v>
      </c>
      <c r="E96">
        <v>4202</v>
      </c>
      <c r="F96" t="str">
        <f>+CONCATENATE(Xero_Tax_Acc[[#This Row],[Line Item]]," - ",Xero_Tax_Acc[[#This Row],[Currency]]," - ",Xero_Tax_Acc[[#This Row],[Pipeline]])</f>
        <v>Digital Assistant - upto 10k Executions - NZD - Sales Pipeline</v>
      </c>
    </row>
    <row r="97" spans="1:6" hidden="1">
      <c r="A97" t="s">
        <v>119</v>
      </c>
      <c r="B97" t="s">
        <v>47</v>
      </c>
      <c r="C97" t="s">
        <v>120</v>
      </c>
      <c r="D97" t="s">
        <v>123</v>
      </c>
      <c r="E97">
        <v>4401</v>
      </c>
      <c r="F97" t="str">
        <f>+CONCATENATE(Xero_Tax_Acc[[#This Row],[Line Item]]," - ",Xero_Tax_Acc[[#This Row],[Currency]]," - ",Xero_Tax_Acc[[#This Row],[Pipeline]])</f>
        <v>MSP Reseller - NZD - MSP Pipeline</v>
      </c>
    </row>
    <row r="98" spans="1:6" hidden="1">
      <c r="A98" t="s">
        <v>121</v>
      </c>
      <c r="B98" t="s">
        <v>47</v>
      </c>
      <c r="C98" t="s">
        <v>120</v>
      </c>
      <c r="D98" t="s">
        <v>123</v>
      </c>
      <c r="E98">
        <v>4401</v>
      </c>
      <c r="F98" t="str">
        <f>+CONCATENATE(Xero_Tax_Acc[[#This Row],[Line Item]]," - ",Xero_Tax_Acc[[#This Row],[Currency]]," - ",Xero_Tax_Acc[[#This Row],[Pipeline]])</f>
        <v>MSP Referral Partner - NZD - MSP Pipeline</v>
      </c>
    </row>
    <row r="99" spans="1:6" hidden="1">
      <c r="A99" t="s">
        <v>122</v>
      </c>
      <c r="B99" t="s">
        <v>47</v>
      </c>
      <c r="C99" t="s">
        <v>120</v>
      </c>
      <c r="D99" t="s">
        <v>123</v>
      </c>
      <c r="E99">
        <v>4401</v>
      </c>
      <c r="F99" t="str">
        <f>+CONCATENATE(Xero_Tax_Acc[[#This Row],[Line Item]]," - ",Xero_Tax_Acc[[#This Row],[Currency]]," - ",Xero_Tax_Acc[[#This Row],[Pipeline]])</f>
        <v>MSP Service Delivery Partner - NZD - MSP Pipeline</v>
      </c>
    </row>
    <row r="100" spans="1:6" hidden="1">
      <c r="A100" t="s">
        <v>72</v>
      </c>
      <c r="B100" t="s">
        <v>51</v>
      </c>
      <c r="C100" t="s">
        <v>41</v>
      </c>
      <c r="D100" t="s">
        <v>125</v>
      </c>
      <c r="E100">
        <v>4102</v>
      </c>
      <c r="F100" t="str">
        <f>+CONCATENATE(Xero_Tax_Acc[[#This Row],[Line Item]]," - ",Xero_Tax_Acc[[#This Row],[Currency]]," - ",Xero_Tax_Acc[[#This Row],[Pipeline]])</f>
        <v>FT Accountant - GBP - Sales Pipeline</v>
      </c>
    </row>
    <row r="101" spans="1:6" hidden="1">
      <c r="A101" t="s">
        <v>74</v>
      </c>
      <c r="B101" t="s">
        <v>51</v>
      </c>
      <c r="C101" t="s">
        <v>41</v>
      </c>
      <c r="D101" t="s">
        <v>125</v>
      </c>
      <c r="E101">
        <v>4102</v>
      </c>
      <c r="F101" t="str">
        <f>+CONCATENATE(Xero_Tax_Acc[[#This Row],[Line Item]]," - ",Xero_Tax_Acc[[#This Row],[Currency]]," - ",Xero_Tax_Acc[[#This Row],[Pipeline]])</f>
        <v>FT Zoho Developer - GBP - Sales Pipeline</v>
      </c>
    </row>
    <row r="102" spans="1:6" hidden="1">
      <c r="A102" t="s">
        <v>75</v>
      </c>
      <c r="B102" t="s">
        <v>51</v>
      </c>
      <c r="C102" t="s">
        <v>41</v>
      </c>
      <c r="D102" t="s">
        <v>125</v>
      </c>
      <c r="E102">
        <v>4103</v>
      </c>
      <c r="F102" t="str">
        <f>+CONCATENATE(Xero_Tax_Acc[[#This Row],[Line Item]]," - ",Xero_Tax_Acc[[#This Row],[Currency]]," - ",Xero_Tax_Acc[[#This Row],[Pipeline]])</f>
        <v>PT Wealth Management Paraplanner - GBP - Sales Pipeline</v>
      </c>
    </row>
    <row r="103" spans="1:6" hidden="1">
      <c r="A103" t="s">
        <v>76</v>
      </c>
      <c r="B103" t="s">
        <v>51</v>
      </c>
      <c r="C103" t="s">
        <v>41</v>
      </c>
      <c r="D103" t="s">
        <v>125</v>
      </c>
      <c r="E103">
        <v>4102</v>
      </c>
      <c r="F103" t="str">
        <f>+CONCATENATE(Xero_Tax_Acc[[#This Row],[Line Item]]," - ",Xero_Tax_Acc[[#This Row],[Currency]]," - ",Xero_Tax_Acc[[#This Row],[Pipeline]])</f>
        <v>FT Salesforce Developer - GBP - Sales Pipeline</v>
      </c>
    </row>
    <row r="104" spans="1:6" hidden="1">
      <c r="A104" t="s">
        <v>77</v>
      </c>
      <c r="B104" t="s">
        <v>51</v>
      </c>
      <c r="C104" t="s">
        <v>41</v>
      </c>
      <c r="D104" t="s">
        <v>125</v>
      </c>
      <c r="E104">
        <v>4102</v>
      </c>
      <c r="F104" t="str">
        <f>+CONCATENATE(Xero_Tax_Acc[[#This Row],[Line Item]]," - ",Xero_Tax_Acc[[#This Row],[Currency]]," - ",Xero_Tax_Acc[[#This Row],[Pipeline]])</f>
        <v>FT Wealth Management Paraplanner - GBP - Sales Pipeline</v>
      </c>
    </row>
    <row r="105" spans="1:6" hidden="1">
      <c r="A105" t="s">
        <v>78</v>
      </c>
      <c r="B105" t="s">
        <v>51</v>
      </c>
      <c r="C105" t="s">
        <v>41</v>
      </c>
      <c r="D105" t="s">
        <v>125</v>
      </c>
      <c r="E105">
        <v>4102</v>
      </c>
      <c r="F105" t="str">
        <f>+CONCATENATE(Xero_Tax_Acc[[#This Row],[Line Item]]," - ",Xero_Tax_Acc[[#This Row],[Currency]]," - ",Xero_Tax_Acc[[#This Row],[Pipeline]])</f>
        <v>Full Stack Developer - GBP - Sales Pipeline</v>
      </c>
    </row>
    <row r="106" spans="1:6" hidden="1">
      <c r="A106" t="s">
        <v>79</v>
      </c>
      <c r="B106" t="s">
        <v>51</v>
      </c>
      <c r="C106" t="s">
        <v>41</v>
      </c>
      <c r="D106" t="s">
        <v>125</v>
      </c>
      <c r="E106">
        <v>4105</v>
      </c>
      <c r="F106" t="str">
        <f>+CONCATENATE(Xero_Tax_Acc[[#This Row],[Line Item]]," - ",Xero_Tax_Acc[[#This Row],[Currency]]," - ",Xero_Tax_Acc[[#This Row],[Pipeline]])</f>
        <v>Custom Service - GBP - Sales Pipeline</v>
      </c>
    </row>
    <row r="107" spans="1:6" hidden="1">
      <c r="A107" t="s">
        <v>80</v>
      </c>
      <c r="B107" t="s">
        <v>51</v>
      </c>
      <c r="C107" t="s">
        <v>41</v>
      </c>
      <c r="D107" t="s">
        <v>125</v>
      </c>
      <c r="E107">
        <v>4103</v>
      </c>
      <c r="F107" t="str">
        <f>+CONCATENATE(Xero_Tax_Acc[[#This Row],[Line Item]]," - ",Xero_Tax_Acc[[#This Row],[Currency]]," - ",Xero_Tax_Acc[[#This Row],[Pipeline]])</f>
        <v>PT Wealth Management Virtual Assistant - GBP - Sales Pipeline</v>
      </c>
    </row>
    <row r="108" spans="1:6" hidden="1">
      <c r="A108" t="s">
        <v>81</v>
      </c>
      <c r="B108" t="s">
        <v>51</v>
      </c>
      <c r="C108" t="s">
        <v>41</v>
      </c>
      <c r="D108" t="s">
        <v>125</v>
      </c>
      <c r="E108">
        <v>4102</v>
      </c>
      <c r="F108" t="str">
        <f>+CONCATENATE(Xero_Tax_Acc[[#This Row],[Line Item]]," - ",Xero_Tax_Acc[[#This Row],[Currency]]," - ",Xero_Tax_Acc[[#This Row],[Pipeline]])</f>
        <v>FT Bookkeeping - GBP - Sales Pipeline</v>
      </c>
    </row>
    <row r="109" spans="1:6" hidden="1">
      <c r="A109" t="s">
        <v>82</v>
      </c>
      <c r="B109" t="s">
        <v>51</v>
      </c>
      <c r="C109" t="s">
        <v>41</v>
      </c>
      <c r="D109" t="s">
        <v>125</v>
      </c>
      <c r="E109">
        <v>4102</v>
      </c>
      <c r="F109" t="str">
        <f>+CONCATENATE(Xero_Tax_Acc[[#This Row],[Line Item]]," - ",Xero_Tax_Acc[[#This Row],[Currency]]," - ",Xero_Tax_Acc[[#This Row],[Pipeline]])</f>
        <v>Oracle HCM Cloud Developer - GBP - Sales Pipeline</v>
      </c>
    </row>
    <row r="110" spans="1:6" hidden="1">
      <c r="A110" t="s">
        <v>83</v>
      </c>
      <c r="B110" t="s">
        <v>51</v>
      </c>
      <c r="C110" t="s">
        <v>41</v>
      </c>
      <c r="D110" t="s">
        <v>125</v>
      </c>
      <c r="E110">
        <v>4103</v>
      </c>
      <c r="F110" t="str">
        <f>+CONCATENATE(Xero_Tax_Acc[[#This Row],[Line Item]]," - ",Xero_Tax_Acc[[#This Row],[Currency]]," - ",Xero_Tax_Acc[[#This Row],[Pipeline]])</f>
        <v>PT Zoho Developer - GBP - Sales Pipeline</v>
      </c>
    </row>
    <row r="111" spans="1:6" hidden="1">
      <c r="A111" t="s">
        <v>84</v>
      </c>
      <c r="B111" t="s">
        <v>51</v>
      </c>
      <c r="C111" t="s">
        <v>41</v>
      </c>
      <c r="D111" t="s">
        <v>125</v>
      </c>
      <c r="E111">
        <v>4105</v>
      </c>
      <c r="F111" t="str">
        <f>+CONCATENATE(Xero_Tax_Acc[[#This Row],[Line Item]]," - ",Xero_Tax_Acc[[#This Row],[Currency]]," - ",Xero_Tax_Acc[[#This Row],[Pipeline]])</f>
        <v>Full Time Custom Staff Aug - GBP - Sales Pipeline</v>
      </c>
    </row>
    <row r="112" spans="1:6" hidden="1">
      <c r="A112" t="s">
        <v>85</v>
      </c>
      <c r="B112" t="s">
        <v>51</v>
      </c>
      <c r="C112" t="s">
        <v>41</v>
      </c>
      <c r="D112" t="s">
        <v>125</v>
      </c>
      <c r="E112">
        <v>4102</v>
      </c>
      <c r="F112" t="str">
        <f>+CONCATENATE(Xero_Tax_Acc[[#This Row],[Line Item]]," - ",Xero_Tax_Acc[[#This Row],[Currency]]," - ",Xero_Tax_Acc[[#This Row],[Pipeline]])</f>
        <v>Full Time Medical Staff - GBP - Sales Pipeline</v>
      </c>
    </row>
    <row r="113" spans="1:6" hidden="1">
      <c r="A113" t="s">
        <v>86</v>
      </c>
      <c r="B113" t="s">
        <v>51</v>
      </c>
      <c r="C113" t="s">
        <v>41</v>
      </c>
      <c r="D113" t="s">
        <v>125</v>
      </c>
      <c r="E113">
        <v>4105</v>
      </c>
      <c r="F113" t="str">
        <f>+CONCATENATE(Xero_Tax_Acc[[#This Row],[Line Item]]," - ",Xero_Tax_Acc[[#This Row],[Currency]]," - ",Xero_Tax_Acc[[#This Row],[Pipeline]])</f>
        <v>Part Time Custom Staff Aug - GBP - Sales Pipeline</v>
      </c>
    </row>
    <row r="114" spans="1:6" hidden="1">
      <c r="A114" t="s">
        <v>87</v>
      </c>
      <c r="B114" t="s">
        <v>51</v>
      </c>
      <c r="C114" t="s">
        <v>41</v>
      </c>
      <c r="D114" t="s">
        <v>125</v>
      </c>
      <c r="E114">
        <v>4103</v>
      </c>
      <c r="F114" t="str">
        <f>+CONCATENATE(Xero_Tax_Acc[[#This Row],[Line Item]]," - ",Xero_Tax_Acc[[#This Row],[Currency]]," - ",Xero_Tax_Acc[[#This Row],[Pipeline]])</f>
        <v>PT Accountant - GBP - Sales Pipeline</v>
      </c>
    </row>
    <row r="115" spans="1:6" hidden="1">
      <c r="A115" t="s">
        <v>88</v>
      </c>
      <c r="B115" t="s">
        <v>51</v>
      </c>
      <c r="C115" t="s">
        <v>41</v>
      </c>
      <c r="D115" t="s">
        <v>125</v>
      </c>
      <c r="E115">
        <v>4102</v>
      </c>
      <c r="F115" t="str">
        <f>+CONCATENATE(Xero_Tax_Acc[[#This Row],[Line Item]]," - ",Xero_Tax_Acc[[#This Row],[Currency]]," - ",Xero_Tax_Acc[[#This Row],[Pipeline]])</f>
        <v>FT Wealth Management Virtual Assistant - GBP - Sales Pipeline</v>
      </c>
    </row>
    <row r="116" spans="1:6" hidden="1">
      <c r="A116" t="s">
        <v>89</v>
      </c>
      <c r="B116" t="s">
        <v>51</v>
      </c>
      <c r="C116" t="s">
        <v>41</v>
      </c>
      <c r="D116" t="s">
        <v>125</v>
      </c>
      <c r="E116">
        <v>4103</v>
      </c>
      <c r="F116" t="str">
        <f>+CONCATENATE(Xero_Tax_Acc[[#This Row],[Line Item]]," - ",Xero_Tax_Acc[[#This Row],[Currency]]," - ",Xero_Tax_Acc[[#This Row],[Pipeline]])</f>
        <v>PT Bookkeeping - GBP - Sales Pipeline</v>
      </c>
    </row>
    <row r="117" spans="1:6" hidden="1">
      <c r="A117" t="s">
        <v>90</v>
      </c>
      <c r="B117" t="s">
        <v>51</v>
      </c>
      <c r="C117" t="s">
        <v>41</v>
      </c>
      <c r="D117" t="s">
        <v>125</v>
      </c>
      <c r="E117">
        <v>4202</v>
      </c>
      <c r="F117" t="str">
        <f>+CONCATENATE(Xero_Tax_Acc[[#This Row],[Line Item]]," - ",Xero_Tax_Acc[[#This Row],[Currency]]," - ",Xero_Tax_Acc[[#This Row],[Pipeline]])</f>
        <v>Dedicated 24x7x365 Digital Assistant - GBP - Sales Pipeline</v>
      </c>
    </row>
    <row r="118" spans="1:6" hidden="1">
      <c r="A118" t="s">
        <v>91</v>
      </c>
      <c r="B118" t="s">
        <v>51</v>
      </c>
      <c r="C118" t="s">
        <v>41</v>
      </c>
      <c r="D118" t="s">
        <v>125</v>
      </c>
      <c r="E118">
        <v>4300</v>
      </c>
      <c r="F118" t="str">
        <f>+CONCATENATE(Xero_Tax_Acc[[#This Row],[Line Item]]," - ",Xero_Tax_Acc[[#This Row],[Currency]]," - ",Xero_Tax_Acc[[#This Row],[Pipeline]])</f>
        <v>Data Analytics Managed Service - GBP - Sales Pipeline</v>
      </c>
    </row>
    <row r="119" spans="1:6" hidden="1">
      <c r="A119" t="s">
        <v>92</v>
      </c>
      <c r="B119" t="s">
        <v>51</v>
      </c>
      <c r="C119" t="s">
        <v>41</v>
      </c>
      <c r="D119" t="s">
        <v>125</v>
      </c>
      <c r="E119">
        <v>4302</v>
      </c>
      <c r="F119" t="str">
        <f>+CONCATENATE(Xero_Tax_Acc[[#This Row],[Line Item]]," - ",Xero_Tax_Acc[[#This Row],[Currency]]," - ",Xero_Tax_Acc[[#This Row],[Pipeline]])</f>
        <v>Data Analytics Implementation - GBP - Sales Pipeline</v>
      </c>
    </row>
    <row r="120" spans="1:6" hidden="1">
      <c r="A120" t="s">
        <v>93</v>
      </c>
      <c r="B120" t="s">
        <v>51</v>
      </c>
      <c r="C120" t="s">
        <v>41</v>
      </c>
      <c r="D120" t="s">
        <v>125</v>
      </c>
      <c r="E120">
        <v>4102</v>
      </c>
      <c r="F120" t="str">
        <f>+CONCATENATE(Xero_Tax_Acc[[#This Row],[Line Item]]," - ",Xero_Tax_Acc[[#This Row],[Currency]]," - ",Xero_Tax_Acc[[#This Row],[Pipeline]])</f>
        <v>FT RPA Developer - GBP - Sales Pipeline</v>
      </c>
    </row>
    <row r="121" spans="1:6" hidden="1">
      <c r="A121" t="s">
        <v>94</v>
      </c>
      <c r="B121" t="s">
        <v>51</v>
      </c>
      <c r="C121" t="s">
        <v>41</v>
      </c>
      <c r="D121" t="s">
        <v>125</v>
      </c>
      <c r="E121">
        <v>4201</v>
      </c>
      <c r="F121" t="str">
        <f>+CONCATENATE(Xero_Tax_Acc[[#This Row],[Line Item]]," - ",Xero_Tax_Acc[[#This Row],[Currency]]," - ",Xero_Tax_Acc[[#This Row],[Pipeline]])</f>
        <v>DA Implementation Team - GBP - Sales Pipeline</v>
      </c>
    </row>
    <row r="122" spans="1:6" hidden="1">
      <c r="A122" t="s">
        <v>95</v>
      </c>
      <c r="B122" t="s">
        <v>51</v>
      </c>
      <c r="C122" t="s">
        <v>41</v>
      </c>
      <c r="D122" t="s">
        <v>125</v>
      </c>
      <c r="E122">
        <v>4202</v>
      </c>
      <c r="F122" t="str">
        <f>+CONCATENATE(Xero_Tax_Acc[[#This Row],[Line Item]]," - ",Xero_Tax_Acc[[#This Row],[Currency]]," - ",Xero_Tax_Acc[[#This Row],[Pipeline]])</f>
        <v>AI Data Extraction per page - GBP - Sales Pipeline</v>
      </c>
    </row>
    <row r="123" spans="1:6" hidden="1">
      <c r="A123" t="s">
        <v>96</v>
      </c>
      <c r="B123" t="s">
        <v>51</v>
      </c>
      <c r="C123" t="s">
        <v>41</v>
      </c>
      <c r="D123" t="s">
        <v>125</v>
      </c>
      <c r="E123">
        <v>4202</v>
      </c>
      <c r="F123" t="str">
        <f>+CONCATENATE(Xero_Tax_Acc[[#This Row],[Line Item]]," - ",Xero_Tax_Acc[[#This Row],[Currency]]," - ",Xero_Tax_Acc[[#This Row],[Pipeline]])</f>
        <v>Fractional Digital Assistant - GBP - Sales Pipeline</v>
      </c>
    </row>
    <row r="124" spans="1:6" hidden="1">
      <c r="A124" t="s">
        <v>97</v>
      </c>
      <c r="B124" t="s">
        <v>51</v>
      </c>
      <c r="C124" t="s">
        <v>41</v>
      </c>
      <c r="D124" t="s">
        <v>125</v>
      </c>
      <c r="E124">
        <v>4203</v>
      </c>
      <c r="F124" t="str">
        <f>+CONCATENATE(Xero_Tax_Acc[[#This Row],[Line Item]]," - ",Xero_Tax_Acc[[#This Row],[Currency]]," - ",Xero_Tax_Acc[[#This Row],[Pipeline]])</f>
        <v>AI Workshop - GBP - Sales Pipeline</v>
      </c>
    </row>
    <row r="125" spans="1:6" hidden="1">
      <c r="A125" t="s">
        <v>98</v>
      </c>
      <c r="B125" t="s">
        <v>51</v>
      </c>
      <c r="C125" t="s">
        <v>41</v>
      </c>
      <c r="D125" t="s">
        <v>125</v>
      </c>
      <c r="E125">
        <v>4102</v>
      </c>
      <c r="F125" t="str">
        <f>+CONCATENATE(Xero_Tax_Acc[[#This Row],[Line Item]]," - ",Xero_Tax_Acc[[#This Row],[Currency]]," - ",Xero_Tax_Acc[[#This Row],[Pipeline]])</f>
        <v>Background Verification Check Fee - GBP - Sales Pipeline</v>
      </c>
    </row>
    <row r="126" spans="1:6" hidden="1">
      <c r="A126" t="s">
        <v>99</v>
      </c>
      <c r="B126" t="s">
        <v>51</v>
      </c>
      <c r="C126" t="s">
        <v>41</v>
      </c>
      <c r="D126" t="s">
        <v>125</v>
      </c>
      <c r="E126">
        <v>4105</v>
      </c>
      <c r="F126" t="str">
        <f>+CONCATENATE(Xero_Tax_Acc[[#This Row],[Line Item]]," - ",Xero_Tax_Acc[[#This Row],[Currency]]," - ",Xero_Tax_Acc[[#This Row],[Pipeline]])</f>
        <v>Onboarding Setup - GBP - Sales Pipeline</v>
      </c>
    </row>
    <row r="127" spans="1:6" hidden="1">
      <c r="A127" t="s">
        <v>100</v>
      </c>
      <c r="B127" t="s">
        <v>51</v>
      </c>
      <c r="C127" t="s">
        <v>41</v>
      </c>
      <c r="D127" t="s">
        <v>125</v>
      </c>
      <c r="E127">
        <v>4102</v>
      </c>
      <c r="F127" t="str">
        <f>+CONCATENATE(Xero_Tax_Acc[[#This Row],[Line Item]]," - ",Xero_Tax_Acc[[#This Row],[Currency]]," - ",Xero_Tax_Acc[[#This Row],[Pipeline]])</f>
        <v>T&amp;M Staff Augmentation - GBP - Sales Pipeline</v>
      </c>
    </row>
    <row r="128" spans="1:6" hidden="1">
      <c r="A128" t="s">
        <v>101</v>
      </c>
      <c r="B128" t="s">
        <v>51</v>
      </c>
      <c r="C128" t="s">
        <v>41</v>
      </c>
      <c r="D128" t="s">
        <v>125</v>
      </c>
      <c r="E128">
        <v>4301</v>
      </c>
      <c r="F128" t="str">
        <f>+CONCATENATE(Xero_Tax_Acc[[#This Row],[Line Item]]," - ",Xero_Tax_Acc[[#This Row],[Currency]]," - ",Xero_Tax_Acc[[#This Row],[Pipeline]])</f>
        <v>Custom Data Analytics Consulting - T&amp;M - GBP - Sales Pipeline</v>
      </c>
    </row>
    <row r="129" spans="1:6" hidden="1">
      <c r="A129" t="s">
        <v>102</v>
      </c>
      <c r="B129" t="s">
        <v>51</v>
      </c>
      <c r="C129" t="s">
        <v>41</v>
      </c>
      <c r="D129" t="s">
        <v>125</v>
      </c>
      <c r="E129">
        <v>4300</v>
      </c>
      <c r="F129" t="str">
        <f>+CONCATENATE(Xero_Tax_Acc[[#This Row],[Line Item]]," - ",Xero_Tax_Acc[[#This Row],[Currency]]," - ",Xero_Tax_Acc[[#This Row],[Pipeline]])</f>
        <v>Data Analytics - Basic Maintenance - GBP - Sales Pipeline</v>
      </c>
    </row>
    <row r="130" spans="1:6" hidden="1">
      <c r="A130" t="s">
        <v>103</v>
      </c>
      <c r="B130" t="s">
        <v>51</v>
      </c>
      <c r="C130" t="s">
        <v>41</v>
      </c>
      <c r="D130" t="s">
        <v>125</v>
      </c>
      <c r="E130">
        <v>4300</v>
      </c>
      <c r="F130" t="str">
        <f>+CONCATENATE(Xero_Tax_Acc[[#This Row],[Line Item]]," - ",Xero_Tax_Acc[[#This Row],[Currency]]," - ",Xero_Tax_Acc[[#This Row],[Pipeline]])</f>
        <v>Data Analytics - Light Managed Service - GBP - Sales Pipeline</v>
      </c>
    </row>
    <row r="131" spans="1:6" hidden="1">
      <c r="A131" t="s">
        <v>104</v>
      </c>
      <c r="B131" t="s">
        <v>51</v>
      </c>
      <c r="C131" t="s">
        <v>41</v>
      </c>
      <c r="D131" t="s">
        <v>125</v>
      </c>
      <c r="E131">
        <v>4300</v>
      </c>
      <c r="F131" t="str">
        <f>+CONCATENATE(Xero_Tax_Acc[[#This Row],[Line Item]]," - ",Xero_Tax_Acc[[#This Row],[Currency]]," - ",Xero_Tax_Acc[[#This Row],[Pipeline]])</f>
        <v>Data Analytics - Managed Service - GBP - Sales Pipeline</v>
      </c>
    </row>
    <row r="132" spans="1:6" hidden="1">
      <c r="A132" t="s">
        <v>105</v>
      </c>
      <c r="B132" t="s">
        <v>51</v>
      </c>
      <c r="C132" t="s">
        <v>41</v>
      </c>
      <c r="D132" t="s">
        <v>125</v>
      </c>
      <c r="E132">
        <v>4302</v>
      </c>
      <c r="F132" t="str">
        <f>+CONCATENATE(Xero_Tax_Acc[[#This Row],[Line Item]]," - ",Xero_Tax_Acc[[#This Row],[Currency]]," - ",Xero_Tax_Acc[[#This Row],[Pipeline]])</f>
        <v>Data Analytics - Prototype Model - GBP - Sales Pipeline</v>
      </c>
    </row>
    <row r="133" spans="1:6" hidden="1">
      <c r="A133" t="s">
        <v>106</v>
      </c>
      <c r="B133" t="s">
        <v>51</v>
      </c>
      <c r="C133" t="s">
        <v>44</v>
      </c>
      <c r="D133" t="s">
        <v>125</v>
      </c>
      <c r="E133">
        <v>4400</v>
      </c>
      <c r="F133" t="str">
        <f>+CONCATENATE(Xero_Tax_Acc[[#This Row],[Line Item]]," - ",Xero_Tax_Acc[[#This Row],[Currency]]," - ",Xero_Tax_Acc[[#This Row],[Pipeline]])</f>
        <v>Reseller Monthly Fee - GBP - Reseller Pipeline</v>
      </c>
    </row>
    <row r="134" spans="1:6" hidden="1">
      <c r="A134" t="s">
        <v>107</v>
      </c>
      <c r="B134" t="s">
        <v>51</v>
      </c>
      <c r="C134" t="s">
        <v>43</v>
      </c>
      <c r="D134" t="s">
        <v>125</v>
      </c>
      <c r="E134">
        <v>401</v>
      </c>
      <c r="F134" t="str">
        <f>+CONCATENATE(Xero_Tax_Acc[[#This Row],[Line Item]]," - ",Xero_Tax_Acc[[#This Row],[Currency]]," - ",Xero_Tax_Acc[[#This Row],[Pipeline]])</f>
        <v>Franchise Setup Fee  - GBP - Franchise Pipeline</v>
      </c>
    </row>
    <row r="135" spans="1:6" hidden="1">
      <c r="A135" t="s">
        <v>108</v>
      </c>
      <c r="B135" t="s">
        <v>51</v>
      </c>
      <c r="C135" t="s">
        <v>43</v>
      </c>
      <c r="D135" t="s">
        <v>125</v>
      </c>
      <c r="E135">
        <v>402</v>
      </c>
      <c r="F135" t="str">
        <f>+CONCATENATE(Xero_Tax_Acc[[#This Row],[Line Item]]," - ",Xero_Tax_Acc[[#This Row],[Currency]]," - ",Xero_Tax_Acc[[#This Row],[Pipeline]])</f>
        <v>Monthly Lead Gen Tech Stack Fee - GBP - Franchise Pipeline</v>
      </c>
    </row>
    <row r="136" spans="1:6" hidden="1">
      <c r="A136" t="s">
        <v>109</v>
      </c>
      <c r="B136" t="s">
        <v>51</v>
      </c>
      <c r="C136" t="s">
        <v>43</v>
      </c>
      <c r="D136" t="s">
        <v>125</v>
      </c>
      <c r="E136">
        <v>403</v>
      </c>
      <c r="F136" t="str">
        <f>+CONCATENATE(Xero_Tax_Acc[[#This Row],[Line Item]]," - ",Xero_Tax_Acc[[#This Row],[Currency]]," - ",Xero_Tax_Acc[[#This Row],[Pipeline]])</f>
        <v>Monthly Advertisement Fee - GBP - Franchise Pipeline</v>
      </c>
    </row>
    <row r="137" spans="1:6">
      <c r="A137" t="s">
        <v>110</v>
      </c>
      <c r="B137" t="s">
        <v>51</v>
      </c>
      <c r="C137" t="s">
        <v>43</v>
      </c>
      <c r="D137" t="s">
        <v>125</v>
      </c>
      <c r="E137">
        <v>404</v>
      </c>
      <c r="F137" t="str">
        <f>+CONCATENATE(Xero_Tax_Acc[[#This Row],[Line Item]]," - ",Xero_Tax_Acc[[#This Row],[Currency]]," - ",Xero_Tax_Acc[[#This Row],[Pipeline]])</f>
        <v>Monthly Support Fee - GBP - Franchise Pipeline</v>
      </c>
    </row>
    <row r="138" spans="1:6" hidden="1">
      <c r="A138" t="s">
        <v>111</v>
      </c>
      <c r="B138" t="s">
        <v>51</v>
      </c>
      <c r="C138" t="s">
        <v>43</v>
      </c>
      <c r="D138" t="s">
        <v>125</v>
      </c>
      <c r="E138">
        <v>405</v>
      </c>
      <c r="F138" t="str">
        <f>+CONCATENATE(Xero_Tax_Acc[[#This Row],[Line Item]]," - ",Xero_Tax_Acc[[#This Row],[Currency]]," - ",Xero_Tax_Acc[[#This Row],[Pipeline]])</f>
        <v>Annual Conference Fee - GBP - Franchise Pipeline</v>
      </c>
    </row>
    <row r="139" spans="1:6" hidden="1">
      <c r="A139" t="s">
        <v>112</v>
      </c>
      <c r="B139" t="s">
        <v>51</v>
      </c>
      <c r="C139" t="s">
        <v>43</v>
      </c>
      <c r="D139" t="s">
        <v>125</v>
      </c>
      <c r="E139">
        <v>406</v>
      </c>
      <c r="F139" t="str">
        <f>+CONCATENATE(Xero_Tax_Acc[[#This Row],[Line Item]]," - ",Xero_Tax_Acc[[#This Row],[Currency]]," - ",Xero_Tax_Acc[[#This Row],[Pipeline]])</f>
        <v>Monthly Consultant Access Fee - GBP - Franchise Pipeline</v>
      </c>
    </row>
    <row r="140" spans="1:6" hidden="1">
      <c r="A140" t="s">
        <v>113</v>
      </c>
      <c r="B140" t="s">
        <v>51</v>
      </c>
      <c r="C140" t="s">
        <v>41</v>
      </c>
      <c r="D140" t="s">
        <v>125</v>
      </c>
      <c r="E140">
        <v>4202</v>
      </c>
      <c r="F140" t="str">
        <f>+CONCATENATE(Xero_Tax_Acc[[#This Row],[Line Item]]," - ",Xero_Tax_Acc[[#This Row],[Currency]]," - ",Xero_Tax_Acc[[#This Row],[Pipeline]])</f>
        <v>COMPLEX - Ai Powered Data Extraction - GBP - Sales Pipeline</v>
      </c>
    </row>
    <row r="141" spans="1:6" hidden="1">
      <c r="A141" t="s">
        <v>114</v>
      </c>
      <c r="B141" t="s">
        <v>51</v>
      </c>
      <c r="C141" t="s">
        <v>41</v>
      </c>
      <c r="D141" t="s">
        <v>125</v>
      </c>
      <c r="E141">
        <v>4202</v>
      </c>
      <c r="F141" t="str">
        <f>+CONCATENATE(Xero_Tax_Acc[[#This Row],[Line Item]]," - ",Xero_Tax_Acc[[#This Row],[Currency]]," - ",Xero_Tax_Acc[[#This Row],[Pipeline]])</f>
        <v>Ai Powered Data Extraction - GBP - Sales Pipeline</v>
      </c>
    </row>
    <row r="142" spans="1:6" hidden="1">
      <c r="A142" t="s">
        <v>115</v>
      </c>
      <c r="B142" t="s">
        <v>51</v>
      </c>
      <c r="C142" t="s">
        <v>41</v>
      </c>
      <c r="D142" t="s">
        <v>125</v>
      </c>
      <c r="E142">
        <v>4202</v>
      </c>
      <c r="F142" t="str">
        <f>+CONCATENATE(Xero_Tax_Acc[[#This Row],[Line Item]]," - ",Xero_Tax_Acc[[#This Row],[Currency]]," - ",Xero_Tax_Acc[[#This Row],[Pipeline]])</f>
        <v>Digital Assistant - upto 250k Executions - GBP - Sales Pipeline</v>
      </c>
    </row>
    <row r="143" spans="1:6" hidden="1">
      <c r="A143" t="s">
        <v>116</v>
      </c>
      <c r="B143" t="s">
        <v>51</v>
      </c>
      <c r="C143" t="s">
        <v>41</v>
      </c>
      <c r="D143" t="s">
        <v>125</v>
      </c>
      <c r="E143">
        <v>4202</v>
      </c>
      <c r="F143" t="str">
        <f>+CONCATENATE(Xero_Tax_Acc[[#This Row],[Line Item]]," - ",Xero_Tax_Acc[[#This Row],[Currency]]," - ",Xero_Tax_Acc[[#This Row],[Pipeline]])</f>
        <v>Digital Assistant - upto 100k Executions - GBP - Sales Pipeline</v>
      </c>
    </row>
    <row r="144" spans="1:6" hidden="1">
      <c r="A144" t="s">
        <v>117</v>
      </c>
      <c r="B144" t="s">
        <v>51</v>
      </c>
      <c r="C144" t="s">
        <v>41</v>
      </c>
      <c r="D144" t="s">
        <v>125</v>
      </c>
      <c r="E144">
        <v>4202</v>
      </c>
      <c r="F144" t="str">
        <f>+CONCATENATE(Xero_Tax_Acc[[#This Row],[Line Item]]," - ",Xero_Tax_Acc[[#This Row],[Currency]]," - ",Xero_Tax_Acc[[#This Row],[Pipeline]])</f>
        <v>Digital Assistant - upto 50k Executions - GBP - Sales Pipeline</v>
      </c>
    </row>
    <row r="145" spans="1:6" hidden="1">
      <c r="A145" t="s">
        <v>118</v>
      </c>
      <c r="B145" t="s">
        <v>51</v>
      </c>
      <c r="C145" t="s">
        <v>41</v>
      </c>
      <c r="D145" t="s">
        <v>125</v>
      </c>
      <c r="E145">
        <v>4202</v>
      </c>
      <c r="F145" t="str">
        <f>+CONCATENATE(Xero_Tax_Acc[[#This Row],[Line Item]]," - ",Xero_Tax_Acc[[#This Row],[Currency]]," - ",Xero_Tax_Acc[[#This Row],[Pipeline]])</f>
        <v>Digital Assistant - upto 10k Executions - GBP - Sales Pipeline</v>
      </c>
    </row>
    <row r="146" spans="1:6" hidden="1">
      <c r="A146" t="s">
        <v>119</v>
      </c>
      <c r="B146" t="s">
        <v>51</v>
      </c>
      <c r="C146" t="s">
        <v>120</v>
      </c>
      <c r="D146" t="s">
        <v>125</v>
      </c>
      <c r="E146">
        <v>4401</v>
      </c>
      <c r="F146" t="str">
        <f>+CONCATENATE(Xero_Tax_Acc[[#This Row],[Line Item]]," - ",Xero_Tax_Acc[[#This Row],[Currency]]," - ",Xero_Tax_Acc[[#This Row],[Pipeline]])</f>
        <v>MSP Reseller - GBP - MSP Pipeline</v>
      </c>
    </row>
    <row r="147" spans="1:6" hidden="1">
      <c r="A147" t="s">
        <v>121</v>
      </c>
      <c r="B147" t="s">
        <v>51</v>
      </c>
      <c r="C147" t="s">
        <v>120</v>
      </c>
      <c r="D147" t="s">
        <v>125</v>
      </c>
      <c r="E147">
        <v>4401</v>
      </c>
      <c r="F147" t="str">
        <f>+CONCATENATE(Xero_Tax_Acc[[#This Row],[Line Item]]," - ",Xero_Tax_Acc[[#This Row],[Currency]]," - ",Xero_Tax_Acc[[#This Row],[Pipeline]])</f>
        <v>MSP Referral Partner - GBP - MSP Pipeline</v>
      </c>
    </row>
    <row r="148" spans="1:6" hidden="1">
      <c r="A148" t="s">
        <v>122</v>
      </c>
      <c r="B148" t="s">
        <v>51</v>
      </c>
      <c r="C148" t="s">
        <v>120</v>
      </c>
      <c r="D148" t="s">
        <v>125</v>
      </c>
      <c r="E148">
        <v>4401</v>
      </c>
      <c r="F148" t="str">
        <f>+CONCATENATE(Xero_Tax_Acc[[#This Row],[Line Item]]," - ",Xero_Tax_Acc[[#This Row],[Currency]]," - ",Xero_Tax_Acc[[#This Row],[Pipeline]])</f>
        <v>MSP Service Delivery Partner - GBP - MSP Pipeline</v>
      </c>
    </row>
    <row r="149" spans="1:6" hidden="1">
      <c r="A149" t="s">
        <v>126</v>
      </c>
      <c r="B149" t="s">
        <v>40</v>
      </c>
      <c r="C149" t="s">
        <v>43</v>
      </c>
      <c r="D149" t="s">
        <v>73</v>
      </c>
      <c r="E149">
        <v>406</v>
      </c>
      <c r="F149" t="str">
        <f>+CONCATENATE(Xero_Tax_Acc[[#This Row],[Line Item]]," - ",Xero_Tax_Acc[[#This Row],[Currency]]," - ",Xero_Tax_Acc[[#This Row],[Pipeline]])</f>
        <v>Consultant - Dripify License - AUD - Franchise Pipeline</v>
      </c>
    </row>
    <row r="150" spans="1:6" hidden="1">
      <c r="A150" t="s">
        <v>127</v>
      </c>
      <c r="B150" t="s">
        <v>40</v>
      </c>
      <c r="C150" t="s">
        <v>43</v>
      </c>
      <c r="D150" t="s">
        <v>73</v>
      </c>
      <c r="E150">
        <v>406</v>
      </c>
      <c r="F150" t="str">
        <f>+CONCATENATE(Xero_Tax_Acc[[#This Row],[Line Item]]," - ",Xero_Tax_Acc[[#This Row],[Currency]]," - ",Xero_Tax_Acc[[#This Row],[Pipeline]])</f>
        <v>1Password License - AUD - Franchise Pipeline</v>
      </c>
    </row>
    <row r="151" spans="1:6" hidden="1">
      <c r="A151" t="s">
        <v>128</v>
      </c>
      <c r="B151" t="s">
        <v>40</v>
      </c>
      <c r="C151" t="s">
        <v>43</v>
      </c>
      <c r="D151" t="s">
        <v>73</v>
      </c>
      <c r="E151">
        <v>406</v>
      </c>
      <c r="F151" t="str">
        <f>+CONCATENATE(Xero_Tax_Acc[[#This Row],[Line Item]]," - ",Xero_Tax_Acc[[#This Row],[Currency]]," - ",Xero_Tax_Acc[[#This Row],[Pipeline]])</f>
        <v>Consultant - MS Email Only + 1Password - AUD - Franchise Pipeline</v>
      </c>
    </row>
    <row r="152" spans="1:6" hidden="1">
      <c r="A152" t="s">
        <v>129</v>
      </c>
      <c r="B152" t="s">
        <v>40</v>
      </c>
      <c r="C152" t="s">
        <v>43</v>
      </c>
      <c r="D152" t="s">
        <v>73</v>
      </c>
      <c r="E152">
        <v>406</v>
      </c>
      <c r="F152" t="str">
        <f>+CONCATENATE(Xero_Tax_Acc[[#This Row],[Line Item]]," - ",Xero_Tax_Acc[[#This Row],[Currency]]," - ",Xero_Tax_Acc[[#This Row],[Pipeline]])</f>
        <v>Consultant - HubSpot Sales License - AUD - Franchise Pipeline</v>
      </c>
    </row>
    <row r="153" spans="1:6" hidden="1">
      <c r="A153" t="s">
        <v>130</v>
      </c>
      <c r="B153" t="s">
        <v>40</v>
      </c>
      <c r="C153" t="s">
        <v>43</v>
      </c>
      <c r="D153" t="s">
        <v>73</v>
      </c>
      <c r="E153">
        <v>406</v>
      </c>
      <c r="F153" t="str">
        <f>+CONCATENATE(Xero_Tax_Acc[[#This Row],[Line Item]]," - ",Xero_Tax_Acc[[#This Row],[Currency]]," - ",Xero_Tax_Acc[[#This Row],[Pipeline]])</f>
        <v>Consultant - MS CoPilot License - AUD - Franchise Pipeline</v>
      </c>
    </row>
    <row r="154" spans="1:6" hidden="1">
      <c r="A154" t="s">
        <v>131</v>
      </c>
      <c r="B154" t="s">
        <v>40</v>
      </c>
      <c r="C154" t="s">
        <v>43</v>
      </c>
      <c r="D154" t="s">
        <v>73</v>
      </c>
      <c r="E154">
        <v>406</v>
      </c>
      <c r="F154" t="str">
        <f>+CONCATENATE(Xero_Tax_Acc[[#This Row],[Line Item]]," - ",Xero_Tax_Acc[[#This Row],[Currency]]," - ",Xero_Tax_Acc[[#This Row],[Pipeline]])</f>
        <v>HubSpot Sales License - AUD - Franchise Pipeline</v>
      </c>
    </row>
    <row r="155" spans="1:6" hidden="1">
      <c r="A155" t="s">
        <v>132</v>
      </c>
      <c r="B155" t="s">
        <v>40</v>
      </c>
      <c r="C155" t="s">
        <v>43</v>
      </c>
      <c r="D155" t="s">
        <v>73</v>
      </c>
      <c r="E155">
        <v>406</v>
      </c>
      <c r="F155" t="str">
        <f>+CONCATENATE(Xero_Tax_Acc[[#This Row],[Line Item]]," - ",Xero_Tax_Acc[[#This Row],[Currency]]," - ",Xero_Tax_Acc[[#This Row],[Pipeline]])</f>
        <v>Consultant - Apollo License - AUD - Franchise Pipeline</v>
      </c>
    </row>
    <row r="156" spans="1:6" hidden="1">
      <c r="A156" t="s">
        <v>133</v>
      </c>
      <c r="B156" t="s">
        <v>40</v>
      </c>
      <c r="C156" t="s">
        <v>43</v>
      </c>
      <c r="D156" t="s">
        <v>73</v>
      </c>
      <c r="E156">
        <v>406</v>
      </c>
      <c r="F156" t="str">
        <f>+CONCATENATE(Xero_Tax_Acc[[#This Row],[Line Item]]," - ",Xero_Tax_Acc[[#This Row],[Currency]]," - ",Xero_Tax_Acc[[#This Row],[Pipeline]])</f>
        <v>Consultant - MS Email Only - AUD - Franchise Pipeline</v>
      </c>
    </row>
    <row r="157" spans="1:6" hidden="1">
      <c r="A157" t="s">
        <v>134</v>
      </c>
      <c r="B157" t="s">
        <v>40</v>
      </c>
      <c r="C157" t="s">
        <v>43</v>
      </c>
      <c r="D157" t="s">
        <v>73</v>
      </c>
      <c r="E157">
        <v>406</v>
      </c>
      <c r="F157" t="str">
        <f>+CONCATENATE(Xero_Tax_Acc[[#This Row],[Line Item]]," - ",Xero_Tax_Acc[[#This Row],[Currency]]," - ",Xero_Tax_Acc[[#This Row],[Pipeline]])</f>
        <v>Consultant - MS O365 License + 1Password - AUD - Franchise Pipeline</v>
      </c>
    </row>
    <row r="158" spans="1:6" hidden="1">
      <c r="A158" t="s">
        <v>135</v>
      </c>
      <c r="B158" t="s">
        <v>40</v>
      </c>
      <c r="C158" t="s">
        <v>43</v>
      </c>
      <c r="D158" t="s">
        <v>73</v>
      </c>
      <c r="E158">
        <v>406</v>
      </c>
      <c r="F158" t="str">
        <f>+CONCATENATE(Xero_Tax_Acc[[#This Row],[Line Item]]," - ",Xero_Tax_Acc[[#This Row],[Currency]]," - ",Xero_Tax_Acc[[#This Row],[Pipeline]])</f>
        <v>Dripify License - AUD - Franchise Pipeline</v>
      </c>
    </row>
    <row r="159" spans="1:6" hidden="1">
      <c r="A159" t="s">
        <v>136</v>
      </c>
      <c r="B159" t="s">
        <v>40</v>
      </c>
      <c r="C159" t="s">
        <v>43</v>
      </c>
      <c r="D159" t="s">
        <v>73</v>
      </c>
      <c r="E159">
        <v>405</v>
      </c>
      <c r="F159" t="str">
        <f>+CONCATENATE(Xero_Tax_Acc[[#This Row],[Line Item]]," - ",Xero_Tax_Acc[[#This Row],[Currency]]," - ",Xero_Tax_Acc[[#This Row],[Pipeline]])</f>
        <v>Monthly Annual Conference Fee - AUD - Franchise Pipeline</v>
      </c>
    </row>
    <row r="160" spans="1:6" hidden="1">
      <c r="A160" t="s">
        <v>137</v>
      </c>
      <c r="B160" t="s">
        <v>40</v>
      </c>
      <c r="C160" t="s">
        <v>43</v>
      </c>
      <c r="D160" t="s">
        <v>73</v>
      </c>
      <c r="E160">
        <v>406</v>
      </c>
      <c r="F160" t="str">
        <f>+CONCATENATE(Xero_Tax_Acc[[#This Row],[Line Item]]," - ",Xero_Tax_Acc[[#This Row],[Currency]]," - ",Xero_Tax_Acc[[#This Row],[Pipeline]])</f>
        <v>MS CoPilot License - AUD - Franchise Pipeline</v>
      </c>
    </row>
    <row r="161" spans="1:6" hidden="1">
      <c r="A161" t="s">
        <v>138</v>
      </c>
      <c r="B161" t="s">
        <v>40</v>
      </c>
      <c r="C161" t="s">
        <v>43</v>
      </c>
      <c r="D161" t="s">
        <v>73</v>
      </c>
      <c r="E161">
        <v>406</v>
      </c>
      <c r="F161" t="str">
        <f>+CONCATENATE(Xero_Tax_Acc[[#This Row],[Line Item]]," - ",Xero_Tax_Acc[[#This Row],[Currency]]," - ",Xero_Tax_Acc[[#This Row],[Pipeline]])</f>
        <v>MS O365 License + 1Password - AUD - Franchise Pipeline</v>
      </c>
    </row>
    <row r="162" spans="1:6" hidden="1">
      <c r="A162" t="s">
        <v>139</v>
      </c>
      <c r="B162" t="s">
        <v>40</v>
      </c>
      <c r="C162" t="s">
        <v>43</v>
      </c>
      <c r="D162" t="s">
        <v>73</v>
      </c>
      <c r="E162">
        <v>406</v>
      </c>
      <c r="F162" t="str">
        <f>+CONCATENATE(Xero_Tax_Acc[[#This Row],[Line Item]]," - ",Xero_Tax_Acc[[#This Row],[Currency]]," - ",Xero_Tax_Acc[[#This Row],[Pipeline]])</f>
        <v>Apollo License - AUD - Franchise Pipeline</v>
      </c>
    </row>
    <row r="163" spans="1:6" hidden="1">
      <c r="A163" t="s">
        <v>140</v>
      </c>
      <c r="B163" t="s">
        <v>40</v>
      </c>
      <c r="C163" t="s">
        <v>41</v>
      </c>
      <c r="D163" t="s">
        <v>73</v>
      </c>
      <c r="E163">
        <v>4300</v>
      </c>
      <c r="F163" t="str">
        <f>+CONCATENATE(Xero_Tax_Acc[[#This Row],[Line Item]]," - ",Xero_Tax_Acc[[#This Row],[Currency]]," - ",Xero_Tax_Acc[[#This Row],[Pipeline]])</f>
        <v>Data Analyst - AUD - Sales Pipeline</v>
      </c>
    </row>
    <row r="164" spans="1:6" hidden="1">
      <c r="A164" t="s">
        <v>141</v>
      </c>
      <c r="B164" t="s">
        <v>40</v>
      </c>
      <c r="C164" t="s">
        <v>44</v>
      </c>
      <c r="D164" t="s">
        <v>73</v>
      </c>
      <c r="E164">
        <v>404</v>
      </c>
      <c r="F164" t="str">
        <f>+CONCATENATE(Xero_Tax_Acc[[#This Row],[Line Item]]," - ",Xero_Tax_Acc[[#This Row],[Currency]]," - ",Xero_Tax_Acc[[#This Row],[Pipeline]])</f>
        <v>Reseller International - AUD - Reseller Pipeline</v>
      </c>
    </row>
    <row r="165" spans="1:6" hidden="1">
      <c r="A165" t="s">
        <v>106</v>
      </c>
      <c r="B165" t="s">
        <v>40</v>
      </c>
      <c r="C165" t="s">
        <v>44</v>
      </c>
      <c r="D165" t="s">
        <v>73</v>
      </c>
      <c r="E165">
        <v>404</v>
      </c>
      <c r="F165" t="str">
        <f>+CONCATENATE(Xero_Tax_Acc[[#This Row],[Line Item]]," - ",Xero_Tax_Acc[[#This Row],[Currency]]," - ",Xero_Tax_Acc[[#This Row],[Pipeline]])</f>
        <v>Reseller Monthly Fee - AUD - Reseller Pipeline</v>
      </c>
    </row>
    <row r="166" spans="1:6" hidden="1">
      <c r="A166" t="s">
        <v>126</v>
      </c>
      <c r="B166" t="s">
        <v>51</v>
      </c>
      <c r="C166" t="s">
        <v>43</v>
      </c>
      <c r="D166" t="s">
        <v>125</v>
      </c>
      <c r="E166">
        <v>406</v>
      </c>
      <c r="F166" t="str">
        <f>+CONCATENATE(Xero_Tax_Acc[[#This Row],[Line Item]]," - ",Xero_Tax_Acc[[#This Row],[Currency]]," - ",Xero_Tax_Acc[[#This Row],[Pipeline]])</f>
        <v>Consultant - Dripify License - GBP - Franchise Pipeline</v>
      </c>
    </row>
    <row r="167" spans="1:6" hidden="1">
      <c r="A167" t="s">
        <v>127</v>
      </c>
      <c r="B167" t="s">
        <v>51</v>
      </c>
      <c r="C167" t="s">
        <v>43</v>
      </c>
      <c r="D167" t="s">
        <v>125</v>
      </c>
      <c r="E167">
        <v>406</v>
      </c>
      <c r="F167" t="str">
        <f>+CONCATENATE(Xero_Tax_Acc[[#This Row],[Line Item]]," - ",Xero_Tax_Acc[[#This Row],[Currency]]," - ",Xero_Tax_Acc[[#This Row],[Pipeline]])</f>
        <v>1Password License - GBP - Franchise Pipeline</v>
      </c>
    </row>
    <row r="168" spans="1:6" hidden="1">
      <c r="A168" t="s">
        <v>128</v>
      </c>
      <c r="B168" t="s">
        <v>51</v>
      </c>
      <c r="C168" t="s">
        <v>43</v>
      </c>
      <c r="D168" t="s">
        <v>125</v>
      </c>
      <c r="E168">
        <v>406</v>
      </c>
      <c r="F168" t="str">
        <f>+CONCATENATE(Xero_Tax_Acc[[#This Row],[Line Item]]," - ",Xero_Tax_Acc[[#This Row],[Currency]]," - ",Xero_Tax_Acc[[#This Row],[Pipeline]])</f>
        <v>Consultant - MS Email Only + 1Password - GBP - Franchise Pipeline</v>
      </c>
    </row>
    <row r="169" spans="1:6" hidden="1">
      <c r="A169" t="s">
        <v>129</v>
      </c>
      <c r="B169" t="s">
        <v>51</v>
      </c>
      <c r="C169" t="s">
        <v>43</v>
      </c>
      <c r="D169" t="s">
        <v>125</v>
      </c>
      <c r="E169">
        <v>406</v>
      </c>
      <c r="F169" t="str">
        <f>+CONCATENATE(Xero_Tax_Acc[[#This Row],[Line Item]]," - ",Xero_Tax_Acc[[#This Row],[Currency]]," - ",Xero_Tax_Acc[[#This Row],[Pipeline]])</f>
        <v>Consultant - HubSpot Sales License - GBP - Franchise Pipeline</v>
      </c>
    </row>
    <row r="170" spans="1:6" hidden="1">
      <c r="A170" t="s">
        <v>130</v>
      </c>
      <c r="B170" t="s">
        <v>51</v>
      </c>
      <c r="C170" t="s">
        <v>43</v>
      </c>
      <c r="D170" t="s">
        <v>125</v>
      </c>
      <c r="E170">
        <v>406</v>
      </c>
      <c r="F170" t="str">
        <f>+CONCATENATE(Xero_Tax_Acc[[#This Row],[Line Item]]," - ",Xero_Tax_Acc[[#This Row],[Currency]]," - ",Xero_Tax_Acc[[#This Row],[Pipeline]])</f>
        <v>Consultant - MS CoPilot License - GBP - Franchise Pipeline</v>
      </c>
    </row>
    <row r="171" spans="1:6" hidden="1">
      <c r="A171" t="s">
        <v>131</v>
      </c>
      <c r="B171" t="s">
        <v>51</v>
      </c>
      <c r="C171" t="s">
        <v>43</v>
      </c>
      <c r="D171" t="s">
        <v>125</v>
      </c>
      <c r="E171">
        <v>406</v>
      </c>
      <c r="F171" t="str">
        <f>+CONCATENATE(Xero_Tax_Acc[[#This Row],[Line Item]]," - ",Xero_Tax_Acc[[#This Row],[Currency]]," - ",Xero_Tax_Acc[[#This Row],[Pipeline]])</f>
        <v>HubSpot Sales License - GBP - Franchise Pipeline</v>
      </c>
    </row>
    <row r="172" spans="1:6" hidden="1">
      <c r="A172" t="s">
        <v>132</v>
      </c>
      <c r="B172" t="s">
        <v>51</v>
      </c>
      <c r="C172" t="s">
        <v>43</v>
      </c>
      <c r="D172" t="s">
        <v>125</v>
      </c>
      <c r="E172">
        <v>406</v>
      </c>
      <c r="F172" t="str">
        <f>+CONCATENATE(Xero_Tax_Acc[[#This Row],[Line Item]]," - ",Xero_Tax_Acc[[#This Row],[Currency]]," - ",Xero_Tax_Acc[[#This Row],[Pipeline]])</f>
        <v>Consultant - Apollo License - GBP - Franchise Pipeline</v>
      </c>
    </row>
    <row r="173" spans="1:6" hidden="1">
      <c r="A173" t="s">
        <v>133</v>
      </c>
      <c r="B173" t="s">
        <v>51</v>
      </c>
      <c r="C173" t="s">
        <v>43</v>
      </c>
      <c r="D173" t="s">
        <v>125</v>
      </c>
      <c r="E173">
        <v>406</v>
      </c>
      <c r="F173" t="str">
        <f>+CONCATENATE(Xero_Tax_Acc[[#This Row],[Line Item]]," - ",Xero_Tax_Acc[[#This Row],[Currency]]," - ",Xero_Tax_Acc[[#This Row],[Pipeline]])</f>
        <v>Consultant - MS Email Only - GBP - Franchise Pipeline</v>
      </c>
    </row>
    <row r="174" spans="1:6" hidden="1">
      <c r="A174" t="s">
        <v>134</v>
      </c>
      <c r="B174" t="s">
        <v>51</v>
      </c>
      <c r="C174" t="s">
        <v>43</v>
      </c>
      <c r="D174" t="s">
        <v>125</v>
      </c>
      <c r="E174">
        <v>406</v>
      </c>
      <c r="F174" t="str">
        <f>+CONCATENATE(Xero_Tax_Acc[[#This Row],[Line Item]]," - ",Xero_Tax_Acc[[#This Row],[Currency]]," - ",Xero_Tax_Acc[[#This Row],[Pipeline]])</f>
        <v>Consultant - MS O365 License + 1Password - GBP - Franchise Pipeline</v>
      </c>
    </row>
    <row r="175" spans="1:6" hidden="1">
      <c r="A175" t="s">
        <v>135</v>
      </c>
      <c r="B175" t="s">
        <v>51</v>
      </c>
      <c r="C175" t="s">
        <v>43</v>
      </c>
      <c r="D175" t="s">
        <v>125</v>
      </c>
      <c r="E175">
        <v>406</v>
      </c>
      <c r="F175" t="str">
        <f>+CONCATENATE(Xero_Tax_Acc[[#This Row],[Line Item]]," - ",Xero_Tax_Acc[[#This Row],[Currency]]," - ",Xero_Tax_Acc[[#This Row],[Pipeline]])</f>
        <v>Dripify License - GBP - Franchise Pipeline</v>
      </c>
    </row>
    <row r="176" spans="1:6" hidden="1">
      <c r="A176" t="s">
        <v>136</v>
      </c>
      <c r="B176" t="s">
        <v>51</v>
      </c>
      <c r="C176" t="s">
        <v>43</v>
      </c>
      <c r="D176" t="s">
        <v>125</v>
      </c>
      <c r="E176">
        <v>406</v>
      </c>
      <c r="F176" t="str">
        <f>+CONCATENATE(Xero_Tax_Acc[[#This Row],[Line Item]]," - ",Xero_Tax_Acc[[#This Row],[Currency]]," - ",Xero_Tax_Acc[[#This Row],[Pipeline]])</f>
        <v>Monthly Annual Conference Fee - GBP - Franchise Pipeline</v>
      </c>
    </row>
    <row r="177" spans="1:6" hidden="1">
      <c r="A177" t="s">
        <v>137</v>
      </c>
      <c r="B177" t="s">
        <v>51</v>
      </c>
      <c r="C177" t="s">
        <v>43</v>
      </c>
      <c r="D177" t="s">
        <v>125</v>
      </c>
      <c r="E177">
        <v>406</v>
      </c>
      <c r="F177" t="str">
        <f>+CONCATENATE(Xero_Tax_Acc[[#This Row],[Line Item]]," - ",Xero_Tax_Acc[[#This Row],[Currency]]," - ",Xero_Tax_Acc[[#This Row],[Pipeline]])</f>
        <v>MS CoPilot License - GBP - Franchise Pipeline</v>
      </c>
    </row>
    <row r="178" spans="1:6" hidden="1">
      <c r="A178" t="s">
        <v>138</v>
      </c>
      <c r="B178" t="s">
        <v>51</v>
      </c>
      <c r="C178" t="s">
        <v>43</v>
      </c>
      <c r="D178" t="s">
        <v>125</v>
      </c>
      <c r="E178">
        <v>406</v>
      </c>
      <c r="F178" t="str">
        <f>+CONCATENATE(Xero_Tax_Acc[[#This Row],[Line Item]]," - ",Xero_Tax_Acc[[#This Row],[Currency]]," - ",Xero_Tax_Acc[[#This Row],[Pipeline]])</f>
        <v>MS O365 License + 1Password - GBP - Franchise Pipeline</v>
      </c>
    </row>
    <row r="179" spans="1:6" hidden="1">
      <c r="A179" t="s">
        <v>139</v>
      </c>
      <c r="B179" t="s">
        <v>51</v>
      </c>
      <c r="C179" t="s">
        <v>43</v>
      </c>
      <c r="D179" t="s">
        <v>125</v>
      </c>
      <c r="E179">
        <v>406</v>
      </c>
      <c r="F179" t="str">
        <f>+CONCATENATE(Xero_Tax_Acc[[#This Row],[Line Item]]," - ",Xero_Tax_Acc[[#This Row],[Currency]]," - ",Xero_Tax_Acc[[#This Row],[Pipeline]])</f>
        <v>Apollo License - GBP - Franchise Pipeline</v>
      </c>
    </row>
    <row r="180" spans="1:6" hidden="1">
      <c r="A180" t="s">
        <v>140</v>
      </c>
      <c r="B180" t="s">
        <v>51</v>
      </c>
      <c r="C180" t="s">
        <v>41</v>
      </c>
      <c r="D180" t="s">
        <v>125</v>
      </c>
      <c r="E180">
        <v>4300</v>
      </c>
      <c r="F180" t="str">
        <f>+CONCATENATE(Xero_Tax_Acc[[#This Row],[Line Item]]," - ",Xero_Tax_Acc[[#This Row],[Currency]]," - ",Xero_Tax_Acc[[#This Row],[Pipeline]])</f>
        <v>Data Analyst - GBP - Sales Pipeline</v>
      </c>
    </row>
    <row r="181" spans="1:6" hidden="1">
      <c r="A181" t="s">
        <v>141</v>
      </c>
      <c r="B181" t="s">
        <v>51</v>
      </c>
      <c r="C181" t="s">
        <v>44</v>
      </c>
      <c r="D181" t="s">
        <v>125</v>
      </c>
      <c r="E181">
        <v>4400</v>
      </c>
      <c r="F181" t="str">
        <f>+CONCATENATE(Xero_Tax_Acc[[#This Row],[Line Item]]," - ",Xero_Tax_Acc[[#This Row],[Currency]]," - ",Xero_Tax_Acc[[#This Row],[Pipeline]])</f>
        <v>Reseller International - GBP - Reseller Pipeline</v>
      </c>
    </row>
    <row r="182" spans="1:6" hidden="1">
      <c r="A182" t="s">
        <v>142</v>
      </c>
      <c r="B182" t="s">
        <v>40</v>
      </c>
      <c r="C182" t="s">
        <v>41</v>
      </c>
      <c r="D182" t="s">
        <v>143</v>
      </c>
      <c r="E182">
        <v>280</v>
      </c>
      <c r="F182" t="str">
        <f>+CONCATENATE(Xero_Tax_Acc[[#This Row],[Line Item]]," - ",Xero_Tax_Acc[[#This Row],[Currency]]," - ",Xero_Tax_Acc[[#This Row],[Pipeline]])</f>
        <v>Client Staff Bonus - AUD - Sales Pipeline</v>
      </c>
    </row>
    <row r="183" spans="1:6" hidden="1">
      <c r="A183" t="s">
        <v>142</v>
      </c>
      <c r="B183" t="s">
        <v>51</v>
      </c>
      <c r="C183" t="s">
        <v>41</v>
      </c>
      <c r="D183" t="s">
        <v>144</v>
      </c>
      <c r="E183">
        <v>260</v>
      </c>
      <c r="F183" t="str">
        <f>+CONCATENATE(Xero_Tax_Acc[[#This Row],[Line Item]]," - ",Xero_Tax_Acc[[#This Row],[Currency]]," - ",Xero_Tax_Acc[[#This Row],[Pipeline]])</f>
        <v>Client Staff Bonus - GBP - Sales Pipeline</v>
      </c>
    </row>
    <row r="184" spans="1:6" hidden="1">
      <c r="A184" t="s">
        <v>145</v>
      </c>
      <c r="B184" t="s">
        <v>40</v>
      </c>
      <c r="C184" t="s">
        <v>41</v>
      </c>
      <c r="D184" t="s">
        <v>73</v>
      </c>
      <c r="E184">
        <v>4105</v>
      </c>
      <c r="F184" t="str">
        <f>+CONCATENATE(Xero_Tax_Acc[[#This Row],[Line Item]]," - ",Xero_Tax_Acc[[#This Row],[Currency]]," - ",Xero_Tax_Acc[[#This Row],[Pipeline]])</f>
        <v>Staff Aug 1.5x Project - AUD - Sales Pipeline</v>
      </c>
    </row>
    <row r="185" spans="1:6" hidden="1">
      <c r="A185" t="s">
        <v>145</v>
      </c>
      <c r="B185" t="s">
        <v>51</v>
      </c>
      <c r="C185" t="s">
        <v>41</v>
      </c>
      <c r="D185" t="s">
        <v>125</v>
      </c>
      <c r="E185">
        <v>4105</v>
      </c>
      <c r="F185" t="str">
        <f>+CONCATENATE(Xero_Tax_Acc[[#This Row],[Line Item]]," - ",Xero_Tax_Acc[[#This Row],[Currency]]," - ",Xero_Tax_Acc[[#This Row],[Pipeline]])</f>
        <v>Staff Aug 1.5x Project - GBP - Sales Pipeline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4BCC7603DAA4FB57C31851CA92685" ma:contentTypeVersion="16" ma:contentTypeDescription="Create a new document." ma:contentTypeScope="" ma:versionID="b666b694d6e76699e884a198b0fcc20b">
  <xsd:schema xmlns:xsd="http://www.w3.org/2001/XMLSchema" xmlns:xs="http://www.w3.org/2001/XMLSchema" xmlns:p="http://schemas.microsoft.com/office/2006/metadata/properties" xmlns:ns2="ca9c0abd-4151-432c-97d3-4a3f10bfee7f" xmlns:ns3="2b4b3f37-1cd0-4b26-90f2-9948314503a5" targetNamespace="http://schemas.microsoft.com/office/2006/metadata/properties" ma:root="true" ma:fieldsID="3e06c0a76cf39f93bdfa440a1b88f7bb" ns2:_="" ns3:_="">
    <xsd:import namespace="ca9c0abd-4151-432c-97d3-4a3f10bfee7f"/>
    <xsd:import namespace="2b4b3f37-1cd0-4b26-90f2-994831450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c0abd-4151-432c-97d3-4a3f10bfe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8ce9b35-fe0d-4f0e-b246-b8b11aaf47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b3f37-1cd0-4b26-90f2-9948314503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54ab0b5-d0ba-488c-a443-b0adf2444ce3}" ma:internalName="TaxCatchAll" ma:showField="CatchAllData" ma:web="2b4b3f37-1cd0-4b26-90f2-994831450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4b3f37-1cd0-4b26-90f2-9948314503a5" xsi:nil="true"/>
    <lcf76f155ced4ddcb4097134ff3c332f xmlns="ca9c0abd-4151-432c-97d3-4a3f10bfee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54FEC5-F8C0-4A0B-9C72-9FC3334369E2}"/>
</file>

<file path=customXml/itemProps2.xml><?xml version="1.0" encoding="utf-8"?>
<ds:datastoreItem xmlns:ds="http://schemas.openxmlformats.org/officeDocument/2006/customXml" ds:itemID="{A88FCA88-4CCB-4A2A-8432-786A6791AF57}"/>
</file>

<file path=customXml/itemProps3.xml><?xml version="1.0" encoding="utf-8"?>
<ds:datastoreItem xmlns:ds="http://schemas.openxmlformats.org/officeDocument/2006/customXml" ds:itemID="{D60A3338-C622-4FF5-BFA9-54DFDA479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Ricardo Rocha Quecano</cp:lastModifiedBy>
  <cp:revision/>
  <dcterms:created xsi:type="dcterms:W3CDTF">2026-01-13T17:20:16Z</dcterms:created>
  <dcterms:modified xsi:type="dcterms:W3CDTF">2026-04-06T17:12:44Z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0x0101005F54BCC7603DAA4FB57C31851CA92685</vt:lpwstr>
  </property>
  <property fmtid="{D5CDD505-2E9C-101B-9397-08002B2CF9AE}" pid="3" name="MediaServiceImageTags">
    <vt:lpwstr/>
  </property>
</Properties>
</file>