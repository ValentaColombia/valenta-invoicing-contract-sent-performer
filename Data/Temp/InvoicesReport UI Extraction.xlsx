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226" documentId="13_ncr:1_{B5D6CEAF-E681-4588-8E6E-EF4492DB7BA4}" xr6:coauthVersionLast="47" xr6:coauthVersionMax="47" xr10:uidLastSave="{66D66237-DC5E-4EE5-B06E-1ADCCD14582E}"/>
  <bookViews>
    <workbookView xWindow="-120" yWindow="-120" windowWidth="29040" windowHeight="15840" firstSheet="6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6" i="4" l="1"/>
  <c r="F185" i="4"/>
  <c r="F184" i="4"/>
  <c r="F183" i="4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<sst xmlns="http://schemas.openxmlformats.org/spreadsheetml/2006/main" count="986" uniqueCount="146">
  <si>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</si>
  <si>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</si>
  <si>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</si>
  <si>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</si>
  <si>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</si>
  <si>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</si>
  <si>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</si>
  <si>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</si>
  <si>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</si>
  <si>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</si>
  <si>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</si>
  <si>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</si>
  <si>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</si>
  <si>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</si>
  <si>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</si>
  <si>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</si>
  <si>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</si>
  <si>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</si>
  <si>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</si>
  <si>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</si>
  <si>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</si>
  <si>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</si>
  <si>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</si>
  <si>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</si>
  <si>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</si>
  <si>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</si>
  <si>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</si>
  <si>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</si>
  <si>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</si>
  <si>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</si>
  <si>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</si>
  <si>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</si>
  <si>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</si>
  <si>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</si>
  <si>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</si>
  <si>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</si>
  <si>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</si>
  <si>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</si>
  <si>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</si>
  <si>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</si>
  <si>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</si>
  <si>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</si>
  <si>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</si>
  <si>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</si>
  <si>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</si>
  <si>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</si>
  <si>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</si>
  <si>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</si>
  <si>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</si>
  <si>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</si>
  <si>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</si>
  <si>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</si>
  <si>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</si>
  <si>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</si>
  <si>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</si>
  <si>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</si>
  <si>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</si>
  <si>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</si>
  <si>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</si>
  <si>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</si>
  <si>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</si>
  <si>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</si>
  <si>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</si>
  <si>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</si>
  <si>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</si>
  <si>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</si>
  <si>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</si>
  <si>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</si>
  <si>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</si>
  <si>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</si>
  <si>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</si>
  <si>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</si>
  <si>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</si>
  <si>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</si>
  <si>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</si>
  <si>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</si>
  <si>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</si>
  <si>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</si>
  <si>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</si>
  <si>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</si>
  <si>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</si>
  <si>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</si>
  <si>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</si>
  <si>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</si>
  <si>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</si>
  <si>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</si>
  <si>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</si>
  <si>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</si>
  <si>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</si>
  <si>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</si>
  <si>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</si>
  <si>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</si>
  <si>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</si>
  <si>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</si>
  <si>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</si>
  <si>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</si>
  <si>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</si>
  <si>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</si>
  <si>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</si>
  <si>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</si>
  <si>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</si>
  <si>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</si>
  <si>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</si>
  <si>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</si>
  <si>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</si>
  <si>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</si>
  <si>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</si>
  <si>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</si>
  <si>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</si>
  <si>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</si>
  <si>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</si>
  <si>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</si>
  <si>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</si>
  <si>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</si>
  <si>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</si>
  <si>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</si>
  <si>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</si>
  <si>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</si>
  <si>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</si>
  <si>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</si>
  <si>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</si>
  <si>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</si>
  <si>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</si>
  <si>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</si>
  <si>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</si>
  <si>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</si>
  <si>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</si>
  <si>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</si>
  <si>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</si>
  <si>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</si>
  <si>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</si>
  <si>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</si>
  <si>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</si>
  <si>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</si>
  <si>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</si>
  <si>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</si>
  <si>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</si>
  <si>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</si>
  <si>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</si>
  <si>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</si>
  <si>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</si>
  <si>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</si>
  <si>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</si>
  <si>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</si>
  <si>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</si>
  <si>
    <t>Staff Aug 1.5x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</si>
</sst>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6" totalsRowShown="0" headerRowDxfId="1">
  <autoFilter ref="A1:F186" xr:uid="{665A5D82-60EC-45BF-9AFF-3D1DD22F2701}"/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P1" workbookViewId="0">
      <selection activeCell="A2" sqref="A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F27" sqref="F27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F186"/>
  <sheetViews>
    <sheetView tabSelected="1" topLeftCell="A51" workbookViewId="0">
      <selection activeCell="F61" sqref="F61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</cols>
  <sheetData>
    <row r="1" spans="1:6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6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</row>
    <row r="3" spans="1:6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</row>
    <row r="4" spans="1:6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</row>
    <row r="5" spans="1:6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</row>
    <row r="6" spans="1:6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</row>
    <row r="7" spans="1:6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</row>
    <row r="8" spans="1:6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</row>
    <row r="9" spans="1:6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</row>
    <row r="10" spans="1:6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</row>
    <row r="11" spans="1:6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</row>
    <row r="12" spans="1:6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</row>
    <row r="13" spans="1:6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</row>
    <row r="14" spans="1:6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</row>
    <row r="15" spans="1:6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</row>
    <row r="16" spans="1:6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</row>
    <row r="17" spans="1:6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</row>
    <row r="18" spans="1:6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</row>
    <row r="19" spans="1:6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</row>
    <row r="20" spans="1:6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</row>
    <row r="21" spans="1:6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</row>
    <row r="22" spans="1:6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</row>
    <row r="23" spans="1:6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</row>
    <row r="24" spans="1:6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</row>
    <row r="25" spans="1:6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</row>
    <row r="26" spans="1:6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</row>
    <row r="27" spans="1:6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</row>
    <row r="28" spans="1:6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</row>
    <row r="29" spans="1:6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</row>
    <row r="30" spans="1:6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</row>
    <row r="31" spans="1:6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</row>
    <row r="32" spans="1:6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</row>
    <row r="33" spans="1:6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</row>
    <row r="34" spans="1:6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</row>
    <row r="35" spans="1:6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</row>
    <row r="36" spans="1:6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</row>
    <row r="37" spans="1:6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</row>
    <row r="38" spans="1:6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</row>
    <row r="39" spans="1:6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</row>
    <row r="40" spans="1:6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</row>
    <row r="41" spans="1:6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</row>
    <row r="42" spans="1:6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</row>
    <row r="43" spans="1:6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</row>
    <row r="44" spans="1:6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</row>
    <row r="45" spans="1:6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</row>
    <row r="46" spans="1:6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</row>
    <row r="47" spans="1:6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</row>
    <row r="48" spans="1:6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</row>
    <row r="49" spans="1:6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</row>
    <row r="50" spans="1:6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</row>
    <row r="51" spans="1:6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</row>
    <row r="52" spans="1:6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</row>
    <row r="53" spans="1:6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</row>
    <row r="54" spans="1:6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</row>
    <row r="55" spans="1:6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</row>
    <row r="56" spans="1:6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</row>
    <row r="57" spans="1:6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</row>
    <row r="58" spans="1:6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</row>
    <row r="59" spans="1:6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</row>
    <row r="60" spans="1:6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</row>
    <row r="61" spans="1:6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</row>
    <row r="62" spans="1:6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</row>
    <row r="63" spans="1:6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</row>
    <row r="64" spans="1:6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</row>
    <row r="65" spans="1:6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</row>
    <row r="66" spans="1:6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</row>
    <row r="67" spans="1:6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</row>
    <row r="68" spans="1:6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</row>
    <row r="69" spans="1:6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</row>
    <row r="70" spans="1:6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</row>
    <row r="71" spans="1:6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</row>
    <row r="72" spans="1:6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</row>
    <row r="73" spans="1:6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</row>
    <row r="74" spans="1:6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</row>
    <row r="75" spans="1:6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</row>
    <row r="76" spans="1:6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</row>
    <row r="77" spans="1:6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</row>
    <row r="78" spans="1:6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</row>
    <row r="79" spans="1:6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</row>
    <row r="80" spans="1:6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</row>
    <row r="81" spans="1:6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</row>
    <row r="82" spans="1:6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</row>
    <row r="83" spans="1:6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</row>
    <row r="84" spans="1:6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</row>
    <row r="85" spans="1:6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</row>
    <row r="86" spans="1:6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</row>
    <row r="87" spans="1:6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</row>
    <row r="88" spans="1:6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</row>
    <row r="89" spans="1:6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</row>
    <row r="90" spans="1:6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</row>
    <row r="91" spans="1:6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</row>
    <row r="92" spans="1:6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</row>
    <row r="93" spans="1:6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</row>
    <row r="94" spans="1:6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</row>
    <row r="95" spans="1:6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</row>
    <row r="96" spans="1:6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</row>
    <row r="97" spans="1:6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</row>
    <row r="98" spans="1:6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</row>
    <row r="99" spans="1:6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</row>
    <row r="100" spans="1:6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</row>
    <row r="101" spans="1:6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</row>
    <row r="102" spans="1:6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</row>
    <row r="103" spans="1:6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</row>
    <row r="104" spans="1:6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</row>
    <row r="105" spans="1:6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</row>
    <row r="106" spans="1:6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</row>
    <row r="107" spans="1:6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</row>
    <row r="108" spans="1:6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</row>
    <row r="109" spans="1:6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</row>
    <row r="110" spans="1:6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</row>
    <row r="111" spans="1:6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</row>
    <row r="112" spans="1:6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</row>
    <row r="113" spans="1:6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</row>
    <row r="114" spans="1:6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</row>
    <row r="115" spans="1:6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</row>
    <row r="116" spans="1:6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</row>
    <row r="117" spans="1:6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</row>
    <row r="118" spans="1:6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</row>
    <row r="119" spans="1:6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</row>
    <row r="120" spans="1:6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</row>
    <row r="121" spans="1:6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</row>
    <row r="122" spans="1:6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</row>
    <row r="123" spans="1:6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</row>
    <row r="124" spans="1:6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</row>
    <row r="125" spans="1:6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</row>
    <row r="126" spans="1:6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</row>
    <row r="127" spans="1:6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</row>
    <row r="128" spans="1:6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</row>
    <row r="129" spans="1:6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</row>
    <row r="130" spans="1:6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</row>
    <row r="131" spans="1:6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</row>
    <row r="132" spans="1:6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</row>
    <row r="133" spans="1:6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</row>
    <row r="134" spans="1:6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</row>
    <row r="135" spans="1:6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</row>
    <row r="136" spans="1:6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</row>
    <row r="137" spans="1:6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</row>
    <row r="138" spans="1:6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</row>
    <row r="139" spans="1:6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</row>
    <row r="140" spans="1:6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</row>
    <row r="141" spans="1:6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</row>
    <row r="142" spans="1:6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</row>
    <row r="143" spans="1:6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</row>
    <row r="144" spans="1:6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</row>
    <row r="145" spans="1:6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</row>
    <row r="146" spans="1:6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</row>
    <row r="147" spans="1:6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</row>
    <row r="148" spans="1:6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</row>
    <row r="149" spans="1:6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</row>
    <row r="150" spans="1:6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t="str">
        <f>+CONCATENATE(Xero_Tax_Acc[[#This Row],[Line Item]]," - ",Xero_Tax_Acc[[#This Row],[Currency]]," - ",Xero_Tax_Acc[[#This Row],[Pipeline]])</f>
        <v>1Password License - AUD - Franchise Pipeline</v>
      </c>
    </row>
    <row r="151" spans="1:6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</row>
    <row r="152" spans="1:6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</row>
    <row r="153" spans="1:6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</row>
    <row r="154" spans="1:6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t="str">
        <f>+CONCATENATE(Xero_Tax_Acc[[#This Row],[Line Item]]," - ",Xero_Tax_Acc[[#This Row],[Currency]]," - ",Xero_Tax_Acc[[#This Row],[Pipeline]])</f>
        <v>HubSpot Sales License - AUD - Franchise Pipeline</v>
      </c>
    </row>
    <row r="155" spans="1:6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</row>
    <row r="156" spans="1:6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</row>
    <row r="157" spans="1:6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</row>
    <row r="158" spans="1:6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t="str">
        <f>+CONCATENATE(Xero_Tax_Acc[[#This Row],[Line Item]]," - ",Xero_Tax_Acc[[#This Row],[Currency]]," - ",Xero_Tax_Acc[[#This Row],[Pipeline]])</f>
        <v>Dripify License - AUD - Franchise Pipeline</v>
      </c>
    </row>
    <row r="159" spans="1:6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</row>
    <row r="160" spans="1:6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t="str">
        <f>+CONCATENATE(Xero_Tax_Acc[[#This Row],[Line Item]]," - ",Xero_Tax_Acc[[#This Row],[Currency]]," - ",Xero_Tax_Acc[[#This Row],[Pipeline]])</f>
        <v>MS CoPilot License - AUD - Franchise Pipeline</v>
      </c>
    </row>
    <row r="161" spans="1:6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</row>
    <row r="162" spans="1:6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t="str">
        <f>+CONCATENATE(Xero_Tax_Acc[[#This Row],[Line Item]]," - ",Xero_Tax_Acc[[#This Row],[Currency]]," - ",Xero_Tax_Acc[[#This Row],[Pipeline]])</f>
        <v>Apollo License - AUD - Franchise Pipeline</v>
      </c>
    </row>
    <row r="163" spans="1:6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t="str">
        <f>+CONCATENATE(Xero_Tax_Acc[[#This Row],[Line Item]]," - ",Xero_Tax_Acc[[#This Row],[Currency]]," - ",Xero_Tax_Acc[[#This Row],[Pipeline]])</f>
        <v>Data Analyst - AUD - Sales Pipeline</v>
      </c>
    </row>
    <row r="164" spans="1:6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t="str">
        <f>+CONCATENATE(Xero_Tax_Acc[[#This Row],[Line Item]]," - ",Xero_Tax_Acc[[#This Row],[Currency]]," - ",Xero_Tax_Acc[[#This Row],[Pipeline]])</f>
        <v>Reseller International - AUD - Reseller Pipeline</v>
      </c>
    </row>
    <row r="165" spans="1:6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t="str">
        <f>+CONCATENATE(Xero_Tax_Acc[[#This Row],[Line Item]]," - ",Xero_Tax_Acc[[#This Row],[Currency]]," - ",Xero_Tax_Acc[[#This Row],[Pipeline]])</f>
        <v>Reseller Monthly Fee - AUD - Reseller Pipeline</v>
      </c>
    </row>
    <row r="166" spans="1:6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</row>
    <row r="167" spans="1:6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t="str">
        <f>+CONCATENATE(Xero_Tax_Acc[[#This Row],[Line Item]]," - ",Xero_Tax_Acc[[#This Row],[Currency]]," - ",Xero_Tax_Acc[[#This Row],[Pipeline]])</f>
        <v>1Password License - GBP - Franchise Pipeline</v>
      </c>
    </row>
    <row r="168" spans="1:6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</row>
    <row r="169" spans="1:6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</row>
    <row r="170" spans="1:6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</row>
    <row r="171" spans="1:6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t="str">
        <f>+CONCATENATE(Xero_Tax_Acc[[#This Row],[Line Item]]," - ",Xero_Tax_Acc[[#This Row],[Currency]]," - ",Xero_Tax_Acc[[#This Row],[Pipeline]])</f>
        <v>HubSpot Sales License - GBP - Franchise Pipeline</v>
      </c>
    </row>
    <row r="172" spans="1:6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</row>
    <row r="173" spans="1:6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</row>
    <row r="174" spans="1:6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</row>
    <row r="175" spans="1:6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t="str">
        <f>+CONCATENATE(Xero_Tax_Acc[[#This Row],[Line Item]]," - ",Xero_Tax_Acc[[#This Row],[Currency]]," - ",Xero_Tax_Acc[[#This Row],[Pipeline]])</f>
        <v>Dripify License - GBP - Franchise Pipeline</v>
      </c>
    </row>
    <row r="176" spans="1:6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</row>
    <row r="177" spans="1:6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t="str">
        <f>+CONCATENATE(Xero_Tax_Acc[[#This Row],[Line Item]]," - ",Xero_Tax_Acc[[#This Row],[Currency]]," - ",Xero_Tax_Acc[[#This Row],[Pipeline]])</f>
        <v>MS CoPilot License - GBP - Franchise Pipeline</v>
      </c>
    </row>
    <row r="178" spans="1:6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</row>
    <row r="179" spans="1:6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t="str">
        <f>+CONCATENATE(Xero_Tax_Acc[[#This Row],[Line Item]]," - ",Xero_Tax_Acc[[#This Row],[Currency]]," - ",Xero_Tax_Acc[[#This Row],[Pipeline]])</f>
        <v>Apollo License - GBP - Franchise Pipeline</v>
      </c>
    </row>
    <row r="180" spans="1:6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t="str">
        <f>+CONCATENATE(Xero_Tax_Acc[[#This Row],[Line Item]]," - ",Xero_Tax_Acc[[#This Row],[Currency]]," - ",Xero_Tax_Acc[[#This Row],[Pipeline]])</f>
        <v>Data Analyst - GBP - Sales Pipeline</v>
      </c>
    </row>
    <row r="181" spans="1:6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t="str">
        <f>+CONCATENATE(Xero_Tax_Acc[[#This Row],[Line Item]]," - ",Xero_Tax_Acc[[#This Row],[Currency]]," - ",Xero_Tax_Acc[[#This Row],[Pipeline]])</f>
        <v>Reseller International - GBP - Reseller Pipeline</v>
      </c>
    </row>
    <row r="182" spans="1:6">
      <c r="A182" t="s">
        <v>142</v>
      </c>
      <c r="B182" t="s">
        <v>40</v>
      </c>
      <c r="C182" t="s">
        <v>41</v>
      </c>
      <c r="D182" t="s">
        <v>143</v>
      </c>
      <c r="E182">
        <v>280</v>
      </c>
      <c r="F182" t="str">
        <f>+CONCATENATE(Xero_Tax_Acc[[#This Row],[Line Item]]," - ",Xero_Tax_Acc[[#This Row],[Currency]]," - ",Xero_Tax_Acc[[#This Row],[Pipeline]])</f>
        <v>Client Staff Bonus - AUD - Sales Pipeline</v>
      </c>
    </row>
    <row r="183" spans="1:6">
      <c r="A183" t="s">
        <v>142</v>
      </c>
      <c r="B183" t="s">
        <v>51</v>
      </c>
      <c r="C183" t="s">
        <v>41</v>
      </c>
      <c r="D183" t="s">
        <v>144</v>
      </c>
      <c r="E183">
        <v>260</v>
      </c>
      <c r="F183" t="str">
        <f>+CONCATENATE(Xero_Tax_Acc[[#This Row],[Line Item]]," - ",Xero_Tax_Acc[[#This Row],[Currency]]," - ",Xero_Tax_Acc[[#This Row],[Pipeline]])</f>
        <v>Client Staff Bonus - GBP - Sales Pipeline</v>
      </c>
    </row>
    <row r="184" spans="1:6">
      <c r="A184" t="s">
        <v>145</v>
      </c>
      <c r="B184" t="s">
        <v>40</v>
      </c>
      <c r="C184" t="s">
        <v>41</v>
      </c>
      <c r="D184" t="s">
        <v>73</v>
      </c>
      <c r="E184">
        <v>4105</v>
      </c>
      <c r="F184" t="str">
        <f>+CONCATENATE(Xero_Tax_Acc[[#This Row],[Line Item]]," - ",Xero_Tax_Acc[[#This Row],[Currency]]," - ",Xero_Tax_Acc[[#This Row],[Pipeline]])</f>
        <v>Staff Aug 1.5x Project - AUD - Sales Pipeline</v>
      </c>
    </row>
    <row r="185" spans="1:6">
      <c r="A185" t="s">
        <v>145</v>
      </c>
      <c r="B185" t="s">
        <v>51</v>
      </c>
      <c r="C185" t="s">
        <v>41</v>
      </c>
      <c r="D185" t="s">
        <v>125</v>
      </c>
      <c r="E185">
        <v>4105</v>
      </c>
      <c r="F185" t="str">
        <f>+CONCATENATE(Xero_Tax_Acc[[#This Row],[Line Item]]," - ",Xero_Tax_Acc[[#This Row],[Currency]]," - ",Xero_Tax_Acc[[#This Row],[Pipeline]])</f>
        <v>Staff Aug 1.5x Project - GBP - Sales Pipeline</v>
      </c>
    </row>
    <row r="186" spans="1:6">
      <c r="A186" t="s">
        <v>142</v>
      </c>
      <c r="B186" t="s">
        <v>47</v>
      </c>
      <c r="C186" t="s">
        <v>41</v>
      </c>
      <c r="D186" t="s">
        <v>123</v>
      </c>
      <c r="E186">
        <v>280</v>
      </c>
      <c r="F186" s="11" t="str">
        <f>+CONCATENATE(Xero_Tax_Acc[[#This Row],[Line Item]]," - ",Xero_Tax_Acc[[#This Row],[Currency]]," - ",Xero_Tax_Acc[[#This Row],[Pipeline]])</f>
        <v>Client Staff Bonus - NZD - Sales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554FEC5-F8C0-4A0B-9C72-9FC3334369E2}"/>
</file>

<file path=customXml/itemProps2.xml><?xml version="1.0" encoding="utf-8"?>
<ds:datastoreItem xmlns:ds="http://schemas.openxmlformats.org/officeDocument/2006/customXml" ds:itemID="{A88FCA88-4CCB-4A2A-8432-786A6791AF57}"/>
</file>

<file path=customXml/itemProps3.xml><?xml version="1.0" encoding="utf-8"?>
<ds:datastoreItem xmlns:ds="http://schemas.openxmlformats.org/officeDocument/2006/customXml" ds:itemID="{D60A3338-C622-4FF5-BFA9-54DFDA479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Sanchita Agarwal</cp:lastModifiedBy>
  <cp:revision/>
  <dcterms:created xsi:type="dcterms:W3CDTF">2026-01-13T17:20:16Z</dcterms:created>
  <dcterms:modified xsi:type="dcterms:W3CDTF">2026-04-17T13:05:02Z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