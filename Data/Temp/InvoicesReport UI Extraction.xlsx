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197" documentId="13_ncr:1_{B5D6CEAF-E681-4588-8E6E-EF4492DB7BA4}" xr6:coauthVersionLast="47" xr6:coauthVersionMax="47" xr10:uidLastSave="{56B9B8CA-9194-4DB4-B514-B4A64D88B0B5}"/>
  <bookViews>
    <workbookView xWindow="-120" yWindow="-120" windowWidth="29040" windowHeight="15840" firstSheet="6" activeTab="6" xr2:uid="{70E8A791-13CE-4BD4-B2C5-703777F4F9B6}"/>
  </bookViews>
  <sheets>
    <sheet name="Invoices Report Input" sheetId="8" r:id="rId1"/>
    <sheet name="Mapping Columns" sheetId="13" state="hidden" r:id="rId2"/>
    <sheet name="Table V0" sheetId="7" state="hidden" r:id="rId3"/>
    <sheet name="Mapping" sheetId="12" state="hidden" r:id="rId4"/>
    <sheet name="Table Sort by Ent&amp;Co" sheetId="11" r:id="rId5"/>
    <sheet name="XERO Entities" sheetId="3" r:id="rId6"/>
    <sheet name="Xero Tax Rate &amp; Acc Code" sheetId="4" r:id="rId7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3" i="4" l="1"/>
  <c r="F18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H2" i="4" s="1" a="1"/>
  <c r="H2" i="4" s="1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<sst xmlns="http://schemas.openxmlformats.org/spreadsheetml/2006/main" count="974" uniqueCount="145">
  <si>
    <t>RECORD ID - INVOICES</t>
  </si>
  <si>
    <t>CREATE DATE - DAILY</t>
  </si>
  <si>
    <t>INVOICE DATE - DAILY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</si>
  <si>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</si>
  <si>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</si>
  <si>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</si>
  <si>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</si>
  <si>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</si>
  <si>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</si>
  <si>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</si>
  <si>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</si>
  <si>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</si>
  <si>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</si>
  <si>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</si>
  <si>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</si>
  <si>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</si>
  <si>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</si>
  <si>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</si>
  <si>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</si>
  <si>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</si>
  <si>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</si>
  <si>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</si>
  <si>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</si>
  <si>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</si>
  <si>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13,7,14,15,16,10,11,8,9,17,18,19,20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</si>
  <si>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</si>
  <si>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</si>
  <si>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</si>
  <si>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</si>
  <si>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</si>
  <si>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</si>
  <si>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</si>
  <si>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</si>
  <si>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</si>
  <si>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</si>
  <si>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</si>
  <si>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</si>
  <si>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</si>
  <si>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</si>
  <si>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</si>
  <si>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</si>
  <si>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</si>
  <si>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</si>
  <si>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</si>
  <si>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</si>
  <si>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</si>
  <si>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</si>
  <si>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</si>
  <si>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</si>
  <si>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</si>
  <si>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</si>
  <si>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</si>
  <si>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</si>
  <si>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</si>
  <si>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</si>
  <si>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</si>
  <si>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</si>
  <si>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</si>
  <si>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</si>
  <si>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</si>
  <si>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</si>
  <si>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</si>
  <si>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</si>
  <si>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</si>
  <si>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</si>
  <si>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</si>
  <si>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</si>
  <si>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</si>
  <si>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</si>
  <si>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</si>
  <si>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</si>
  <si>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</si>
  <si>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</si>
  <si>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</si>
  <si>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</si>
  <si>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</si>
  <si>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</si>
  <si>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</si>
  <si>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</si>
  <si>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</si>
  <si>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</si>
  <si>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</si>
  <si>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</si>
  <si>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</si>
  <si>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</si>
  <si>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</si>
  <si>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</si>
  <si>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</si>
  <si>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</si>
  <si>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</si>
  <si>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</si>
  <si>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</si>
  <si>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</si>
  <si>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</si>
  <si>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</si>
  <si>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</si>
  <si>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</si>
  <si>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</si>
  <si>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</si>
  <si>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</si>
  <si>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</si>
  <si>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</si>
  <si>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</si>
  <si>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</si>
  <si>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</si>
  <si>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</si>
  <si>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</si>
  <si>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</si>
  <si>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</si>
  <si>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</si>
  <si>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</si>
  <si>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</si>
  <si>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</si>
  <si>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</si>
  <si>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</si>
  <si>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</si>
  <si>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</si>
  <si>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</si>
  <si>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</si>
  <si>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</si>
  <si>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</si>
  <si>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</si>
  <si>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</si>
  <si>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</si>
  <si>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</si>
  <si>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</si>
  <si>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</si>
  <si>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</si>
  <si>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</si>
  <si>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</si>
  <si>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</si>
  <si>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</si>
  <si>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</si>
  <si>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</si>
  <si>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</si>
  <si>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</si>
  <si>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</si>
  <si>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</si>
  <si>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</si>
  <si>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</si>
  <si>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</si>
  <si>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</si>
  <si>
    <t>Client Staff Bonus</t>
  </si>
  <si>
    <t>GST Free Income</t>
  </si>
  <si>
    <t>Exempt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</si>
</sst>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24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23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22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21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20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9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8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17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16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15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14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13">
  <autoFilter ref="A1:R2" xr:uid="{50DE97F5-C0D9-4056-AF03-D2CFDFE1DFF6}"/>
  <tableColumns count="18">
    <tableColumn id="19" xr3:uid="{53E500F5-B9DC-4CA1-984D-645951F956A9}" name="RECORD ID - INVOICES" dataDxfId="12"/>
    <tableColumn id="1" xr3:uid="{25E6BD98-261D-43D6-A5FC-98EBBF9227A6}" name="CREATE DATE - DAILY" dataDxfId="11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10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9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8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7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6">
      <calculatedColumnFormula>+_xlfn.XLOOKUP(Table16[[#This Row],[BILLING COMPANY]],#REF!,#REF!,"")</calculatedColumnFormula>
    </tableColumn>
    <tableColumn id="18" xr3:uid="{148ED2C6-11F1-462F-8470-711334DE39F0}" name="Region" dataDxfId="5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4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3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2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3" totalsRowShown="0" headerRowDxfId="1">
  <autoFilter ref="A1:F183" xr:uid="{665A5D82-60EC-45BF-9AFF-3D1DD22F2701}">
    <filterColumn colId="0">
      <filters>
        <filter val="Annual Conference Fee"/>
        <filter val="Background Verification Check Fee"/>
        <filter val="Franchise Setup Fee"/>
        <filter val="Monthly Advertisement Fee"/>
        <filter val="Monthly Annual Conference Fee"/>
        <filter val="Monthly Consultant Access Fee"/>
        <filter val="Monthly Lead Gen Tech Stack Fee"/>
        <filter val="Monthly Support Fee"/>
        <filter val="Reseller Monthly Fee"/>
      </filters>
    </filterColumn>
  </autoFilter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0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N1" workbookViewId="0">
      <selection activeCell="X2" sqref="X2"/>
    </sheetView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24</v>
      </c>
    </row>
    <row r="7" spans="1:19">
      <c r="A7">
        <v>4</v>
      </c>
      <c r="B7" t="s">
        <v>3</v>
      </c>
    </row>
    <row r="8" spans="1:19">
      <c r="A8">
        <v>5</v>
      </c>
      <c r="B8" t="s">
        <v>4</v>
      </c>
    </row>
    <row r="9" spans="1:19">
      <c r="A9">
        <v>6</v>
      </c>
      <c r="B9" t="s">
        <v>5</v>
      </c>
    </row>
    <row r="10" spans="1:19">
      <c r="A10">
        <v>7</v>
      </c>
      <c r="B10" t="s">
        <v>6</v>
      </c>
      <c r="C10">
        <v>2</v>
      </c>
    </row>
    <row r="11" spans="1:19">
      <c r="A11">
        <v>8</v>
      </c>
      <c r="B11" t="s">
        <v>7</v>
      </c>
      <c r="C11">
        <v>8</v>
      </c>
    </row>
    <row r="12" spans="1:19">
      <c r="A12">
        <v>9</v>
      </c>
      <c r="B12" t="s">
        <v>8</v>
      </c>
      <c r="C12">
        <v>9</v>
      </c>
    </row>
    <row r="13" spans="1:19">
      <c r="A13">
        <v>10</v>
      </c>
      <c r="B13" t="s">
        <v>9</v>
      </c>
      <c r="C13">
        <v>6</v>
      </c>
    </row>
    <row r="14" spans="1:19">
      <c r="A14">
        <v>11</v>
      </c>
      <c r="B14" t="s">
        <v>10</v>
      </c>
      <c r="C14">
        <v>7</v>
      </c>
    </row>
    <row r="15" spans="1:19">
      <c r="A15">
        <v>12</v>
      </c>
      <c r="B15" t="s">
        <v>11</v>
      </c>
    </row>
    <row r="16" spans="1:19">
      <c r="A16">
        <v>13</v>
      </c>
      <c r="B16" t="s">
        <v>12</v>
      </c>
      <c r="C16">
        <v>12</v>
      </c>
    </row>
    <row r="17" spans="1:3">
      <c r="A17">
        <v>14</v>
      </c>
      <c r="B17" t="s">
        <v>13</v>
      </c>
    </row>
    <row r="18" spans="1:3">
      <c r="A18">
        <v>15</v>
      </c>
      <c r="B18" t="s">
        <v>14</v>
      </c>
      <c r="C18">
        <v>1</v>
      </c>
    </row>
    <row r="19" spans="1:3">
      <c r="A19">
        <v>16</v>
      </c>
      <c r="B19" t="s">
        <v>15</v>
      </c>
      <c r="C19">
        <v>3</v>
      </c>
    </row>
    <row r="20" spans="1:3">
      <c r="A20">
        <v>17</v>
      </c>
      <c r="B20" t="s">
        <v>16</v>
      </c>
      <c r="C20">
        <v>4</v>
      </c>
    </row>
    <row r="21" spans="1:3">
      <c r="A21">
        <v>18</v>
      </c>
      <c r="B21" t="s">
        <v>17</v>
      </c>
      <c r="C21">
        <v>5</v>
      </c>
    </row>
    <row r="22" spans="1:3">
      <c r="A22">
        <v>19</v>
      </c>
      <c r="B22" t="s">
        <v>18</v>
      </c>
      <c r="C22">
        <v>10</v>
      </c>
    </row>
    <row r="23" spans="1:3">
      <c r="A23">
        <v>20</v>
      </c>
      <c r="B23" t="s">
        <v>19</v>
      </c>
      <c r="C23">
        <v>11</v>
      </c>
    </row>
    <row r="24" spans="1:3">
      <c r="A24">
        <v>21</v>
      </c>
      <c r="B24" t="s">
        <v>20</v>
      </c>
      <c r="C24">
        <v>13</v>
      </c>
    </row>
    <row r="25" spans="1:3">
      <c r="A25">
        <v>22</v>
      </c>
      <c r="B25" t="s">
        <v>21</v>
      </c>
    </row>
    <row r="26" spans="1:3">
      <c r="A26">
        <v>23</v>
      </c>
      <c r="B26" t="s">
        <v>22</v>
      </c>
    </row>
    <row r="27" spans="1:3">
      <c r="A27">
        <v>24</v>
      </c>
      <c r="B2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21</v>
      </c>
      <c r="M1" s="2" t="s">
        <v>25</v>
      </c>
      <c r="N1" s="2" t="s">
        <v>19</v>
      </c>
      <c r="O1" s="2" t="s">
        <v>18</v>
      </c>
      <c r="P1" s="2" t="s">
        <v>14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29</v>
      </c>
      <c r="V2" t="s">
        <v>16</v>
      </c>
      <c r="W2" t="s">
        <v>17</v>
      </c>
      <c r="X2" t="s">
        <v>18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4</v>
      </c>
      <c r="E4">
        <v>1</v>
      </c>
      <c r="F4" t="s">
        <v>0</v>
      </c>
    </row>
    <row r="5" spans="1:29">
      <c r="A5">
        <v>4</v>
      </c>
      <c r="B5" s="4" t="s">
        <v>5</v>
      </c>
      <c r="E5">
        <v>2</v>
      </c>
      <c r="F5" t="s">
        <v>1</v>
      </c>
    </row>
    <row r="6" spans="1:29">
      <c r="A6">
        <v>5</v>
      </c>
      <c r="B6" s="4" t="s">
        <v>6</v>
      </c>
      <c r="E6">
        <v>3</v>
      </c>
      <c r="F6" t="s">
        <v>2</v>
      </c>
    </row>
    <row r="7" spans="1:29">
      <c r="A7">
        <v>6</v>
      </c>
      <c r="B7" s="4" t="s">
        <v>7</v>
      </c>
      <c r="E7">
        <v>4</v>
      </c>
      <c r="F7" t="s">
        <v>3</v>
      </c>
    </row>
    <row r="8" spans="1:29">
      <c r="A8">
        <v>7</v>
      </c>
      <c r="B8" s="4" t="s">
        <v>8</v>
      </c>
      <c r="E8">
        <v>5</v>
      </c>
      <c r="F8" t="s">
        <v>4</v>
      </c>
    </row>
    <row r="9" spans="1:29">
      <c r="A9">
        <v>8</v>
      </c>
      <c r="B9" s="4" t="s">
        <v>9</v>
      </c>
      <c r="E9">
        <v>6</v>
      </c>
      <c r="F9" t="s">
        <v>5</v>
      </c>
    </row>
    <row r="10" spans="1:29">
      <c r="A10">
        <v>9</v>
      </c>
      <c r="B10" s="4" t="s">
        <v>10</v>
      </c>
      <c r="E10">
        <v>7</v>
      </c>
      <c r="F10" t="s">
        <v>6</v>
      </c>
      <c r="G10">
        <v>2</v>
      </c>
    </row>
    <row r="11" spans="1:29">
      <c r="A11">
        <v>10</v>
      </c>
      <c r="B11" s="4" t="s">
        <v>11</v>
      </c>
      <c r="E11">
        <v>8</v>
      </c>
      <c r="F11" t="s">
        <v>7</v>
      </c>
      <c r="G11">
        <v>8</v>
      </c>
    </row>
    <row r="12" spans="1:29">
      <c r="A12">
        <v>11</v>
      </c>
      <c r="B12" s="4" t="s">
        <v>12</v>
      </c>
      <c r="E12">
        <v>9</v>
      </c>
      <c r="F12" t="s">
        <v>8</v>
      </c>
      <c r="G12">
        <v>9</v>
      </c>
    </row>
    <row r="13" spans="1:29">
      <c r="A13">
        <v>12</v>
      </c>
      <c r="B13" s="4" t="s">
        <v>13</v>
      </c>
      <c r="E13">
        <v>10</v>
      </c>
      <c r="F13" t="s">
        <v>9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10</v>
      </c>
      <c r="G14">
        <v>7</v>
      </c>
    </row>
    <row r="15" spans="1:29">
      <c r="A15">
        <v>14</v>
      </c>
      <c r="B15" s="4" t="s">
        <v>21</v>
      </c>
      <c r="E15">
        <v>12</v>
      </c>
      <c r="F15" t="s">
        <v>11</v>
      </c>
    </row>
    <row r="16" spans="1:29">
      <c r="A16">
        <v>15</v>
      </c>
      <c r="B16" s="4" t="s">
        <v>25</v>
      </c>
      <c r="E16">
        <v>13</v>
      </c>
      <c r="F16" t="s">
        <v>12</v>
      </c>
      <c r="G16">
        <v>12</v>
      </c>
    </row>
    <row r="17" spans="1:7">
      <c r="A17">
        <v>16</v>
      </c>
      <c r="B17" s="4" t="s">
        <v>19</v>
      </c>
      <c r="E17">
        <v>14</v>
      </c>
      <c r="F17" t="s">
        <v>13</v>
      </c>
    </row>
    <row r="18" spans="1:7">
      <c r="A18">
        <v>17</v>
      </c>
      <c r="B18" s="4" t="s">
        <v>18</v>
      </c>
      <c r="E18">
        <v>15</v>
      </c>
      <c r="F18" t="s">
        <v>14</v>
      </c>
      <c r="G18">
        <v>1</v>
      </c>
    </row>
    <row r="19" spans="1:7">
      <c r="A19">
        <v>18</v>
      </c>
      <c r="B19" s="4" t="s">
        <v>14</v>
      </c>
      <c r="E19">
        <v>16</v>
      </c>
      <c r="F19" t="s">
        <v>15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16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17</v>
      </c>
      <c r="G21">
        <v>5</v>
      </c>
    </row>
    <row r="22" spans="1:7">
      <c r="E22">
        <v>19</v>
      </c>
      <c r="F22" t="s">
        <v>18</v>
      </c>
      <c r="G22">
        <v>10</v>
      </c>
    </row>
    <row r="23" spans="1:7">
      <c r="E23">
        <v>20</v>
      </c>
      <c r="F23" t="s">
        <v>19</v>
      </c>
      <c r="G23">
        <v>11</v>
      </c>
    </row>
    <row r="24" spans="1:7">
      <c r="E24">
        <v>21</v>
      </c>
      <c r="F24" t="s">
        <v>20</v>
      </c>
      <c r="G24">
        <v>13</v>
      </c>
    </row>
    <row r="25" spans="1:7">
      <c r="E25">
        <v>22</v>
      </c>
      <c r="F25" t="s">
        <v>21</v>
      </c>
    </row>
    <row r="26" spans="1:7">
      <c r="E26">
        <v>23</v>
      </c>
      <c r="F26" t="s">
        <v>22</v>
      </c>
    </row>
    <row r="27" spans="1:7">
      <c r="E27">
        <v>24</v>
      </c>
      <c r="F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B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14</v>
      </c>
      <c r="B1" s="2" t="s">
        <v>6</v>
      </c>
      <c r="C1" s="6" t="s">
        <v>2</v>
      </c>
      <c r="D1" s="6" t="s">
        <v>3</v>
      </c>
      <c r="E1" s="2" t="s">
        <v>17</v>
      </c>
      <c r="F1" s="2" t="s">
        <v>9</v>
      </c>
      <c r="G1" s="2" t="s">
        <v>10</v>
      </c>
      <c r="H1" s="2" t="s">
        <v>7</v>
      </c>
      <c r="I1" s="2" t="s">
        <v>8</v>
      </c>
      <c r="J1" s="2" t="s">
        <v>18</v>
      </c>
      <c r="K1" s="2" t="s">
        <v>19</v>
      </c>
      <c r="L1" s="2" t="s">
        <v>12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workbookViewId="0">
      <selection activeCell="A4" sqref="A4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14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H183"/>
  <sheetViews>
    <sheetView tabSelected="1" topLeftCell="A178" workbookViewId="0">
      <selection activeCell="A182" sqref="A182:F183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  <col min="8" max="8" width="62.28515625" bestFit="1" customWidth="1"/>
  </cols>
  <sheetData>
    <row r="1" spans="1:8">
      <c r="A1" s="2" t="s">
        <v>69</v>
      </c>
      <c r="B1" s="2" t="s">
        <v>34</v>
      </c>
      <c r="C1" s="2" t="s">
        <v>70</v>
      </c>
      <c r="D1" s="2" t="s">
        <v>19</v>
      </c>
      <c r="E1" s="2" t="s">
        <v>18</v>
      </c>
      <c r="F1" s="2" t="s">
        <v>71</v>
      </c>
    </row>
    <row r="2" spans="1:8" hidden="1">
      <c r="A2" t="s">
        <v>72</v>
      </c>
      <c r="B2" t="s">
        <v>40</v>
      </c>
      <c r="C2" t="s">
        <v>41</v>
      </c>
      <c r="D2" t="s">
        <v>73</v>
      </c>
      <c r="E2">
        <v>4102</v>
      </c>
      <c r="F2" t="str">
        <f>+CONCATENATE(Xero_Tax_Acc[[#This Row],[Line Item]]," - ",Xero_Tax_Acc[[#This Row],[Currency]]," - ",Xero_Tax_Acc[[#This Row],[Pipeline]])</f>
        <v>FT Accountant - AUD - Sales Pipeline</v>
      </c>
      <c r="H2" t="str" cm="1">
        <f t="array" ref="H2:H182">+_xlfn.UNIQUE(Xero_Tax_Acc[LineItem_Key])</f>
        <v>FT Accountant - AUD - Sales Pipeline</v>
      </c>
    </row>
    <row r="3" spans="1:8" hidden="1">
      <c r="A3" t="s">
        <v>74</v>
      </c>
      <c r="B3" t="s">
        <v>40</v>
      </c>
      <c r="C3" t="s">
        <v>41</v>
      </c>
      <c r="D3" t="s">
        <v>73</v>
      </c>
      <c r="E3">
        <v>4102</v>
      </c>
      <c r="F3" t="str">
        <f>+CONCATENATE(Xero_Tax_Acc[[#This Row],[Line Item]]," - ",Xero_Tax_Acc[[#This Row],[Currency]]," - ",Xero_Tax_Acc[[#This Row],[Pipeline]])</f>
        <v>FT Zoho Developer - AUD - Sales Pipeline</v>
      </c>
      <c r="H3" t="str">
        <v>FT Zoho Developer - AUD - Sales Pipeline</v>
      </c>
    </row>
    <row r="4" spans="1:8" hidden="1">
      <c r="A4" t="s">
        <v>75</v>
      </c>
      <c r="B4" t="s">
        <v>40</v>
      </c>
      <c r="C4" t="s">
        <v>41</v>
      </c>
      <c r="D4" t="s">
        <v>73</v>
      </c>
      <c r="E4">
        <v>4103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  <c r="H4" t="str">
        <v>PT Wealth Management Paraplanner - AUD - Sales Pipeline</v>
      </c>
    </row>
    <row r="5" spans="1:8" hidden="1">
      <c r="A5" t="s">
        <v>76</v>
      </c>
      <c r="B5" t="s">
        <v>40</v>
      </c>
      <c r="C5" t="s">
        <v>41</v>
      </c>
      <c r="D5" t="s">
        <v>73</v>
      </c>
      <c r="E5">
        <v>4102</v>
      </c>
      <c r="F5" t="str">
        <f>+CONCATENATE(Xero_Tax_Acc[[#This Row],[Line Item]]," - ",Xero_Tax_Acc[[#This Row],[Currency]]," - ",Xero_Tax_Acc[[#This Row],[Pipeline]])</f>
        <v>FT Salesforce Developer - AUD - Sales Pipeline</v>
      </c>
      <c r="H5" t="str">
        <v>FT Salesforce Developer - AUD - Sales Pipeline</v>
      </c>
    </row>
    <row r="6" spans="1:8" hidden="1">
      <c r="A6" t="s">
        <v>77</v>
      </c>
      <c r="B6" t="s">
        <v>40</v>
      </c>
      <c r="C6" t="s">
        <v>41</v>
      </c>
      <c r="D6" t="s">
        <v>73</v>
      </c>
      <c r="E6">
        <v>4102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  <c r="H6" t="str">
        <v>FT Wealth Management Paraplanner - AUD - Sales Pipeline</v>
      </c>
    </row>
    <row r="7" spans="1:8" hidden="1">
      <c r="A7" t="s">
        <v>78</v>
      </c>
      <c r="B7" t="s">
        <v>40</v>
      </c>
      <c r="C7" t="s">
        <v>41</v>
      </c>
      <c r="D7" t="s">
        <v>73</v>
      </c>
      <c r="E7">
        <v>4102</v>
      </c>
      <c r="F7" t="str">
        <f>+CONCATENATE(Xero_Tax_Acc[[#This Row],[Line Item]]," - ",Xero_Tax_Acc[[#This Row],[Currency]]," - ",Xero_Tax_Acc[[#This Row],[Pipeline]])</f>
        <v>Full Stack Developer - AUD - Sales Pipeline</v>
      </c>
      <c r="H7" t="str">
        <v>Full Stack Developer - AUD - Sales Pipeline</v>
      </c>
    </row>
    <row r="8" spans="1:8" hidden="1">
      <c r="A8" t="s">
        <v>79</v>
      </c>
      <c r="B8" t="s">
        <v>40</v>
      </c>
      <c r="C8" t="s">
        <v>41</v>
      </c>
      <c r="D8" t="s">
        <v>73</v>
      </c>
      <c r="E8">
        <v>4105</v>
      </c>
      <c r="F8" t="str">
        <f>+CONCATENATE(Xero_Tax_Acc[[#This Row],[Line Item]]," - ",Xero_Tax_Acc[[#This Row],[Currency]]," - ",Xero_Tax_Acc[[#This Row],[Pipeline]])</f>
        <v>Custom Service - AUD - Sales Pipeline</v>
      </c>
      <c r="H8" t="str">
        <v>Custom Service - AUD - Sales Pipeline</v>
      </c>
    </row>
    <row r="9" spans="1:8" hidden="1">
      <c r="A9" t="s">
        <v>80</v>
      </c>
      <c r="B9" t="s">
        <v>40</v>
      </c>
      <c r="C9" t="s">
        <v>41</v>
      </c>
      <c r="D9" t="s">
        <v>73</v>
      </c>
      <c r="E9">
        <v>4103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  <c r="H9" t="str">
        <v>PT Wealth Management Virtual Assistant - AUD - Sales Pipeline</v>
      </c>
    </row>
    <row r="10" spans="1:8" hidden="1">
      <c r="A10" t="s">
        <v>81</v>
      </c>
      <c r="B10" t="s">
        <v>40</v>
      </c>
      <c r="C10" t="s">
        <v>41</v>
      </c>
      <c r="D10" t="s">
        <v>73</v>
      </c>
      <c r="E10">
        <v>4102</v>
      </c>
      <c r="F10" t="str">
        <f>+CONCATENATE(Xero_Tax_Acc[[#This Row],[Line Item]]," - ",Xero_Tax_Acc[[#This Row],[Currency]]," - ",Xero_Tax_Acc[[#This Row],[Pipeline]])</f>
        <v>FT Bookkeeping - AUD - Sales Pipeline</v>
      </c>
      <c r="H10" t="str">
        <v>FT Bookkeeping - AUD - Sales Pipeline</v>
      </c>
    </row>
    <row r="11" spans="1:8" hidden="1">
      <c r="A11" t="s">
        <v>82</v>
      </c>
      <c r="B11" t="s">
        <v>40</v>
      </c>
      <c r="C11" t="s">
        <v>41</v>
      </c>
      <c r="D11" t="s">
        <v>73</v>
      </c>
      <c r="E11">
        <v>4102</v>
      </c>
      <c r="F11" t="str">
        <f>+CONCATENATE(Xero_Tax_Acc[[#This Row],[Line Item]]," - ",Xero_Tax_Acc[[#This Row],[Currency]]," - ",Xero_Tax_Acc[[#This Row],[Pipeline]])</f>
        <v>Oracle HCM Cloud Developer - AUD - Sales Pipeline</v>
      </c>
      <c r="H11" t="str">
        <v>Oracle HCM Cloud Developer - AUD - Sales Pipeline</v>
      </c>
    </row>
    <row r="12" spans="1:8" hidden="1">
      <c r="A12" t="s">
        <v>83</v>
      </c>
      <c r="B12" t="s">
        <v>40</v>
      </c>
      <c r="C12" t="s">
        <v>41</v>
      </c>
      <c r="D12" t="s">
        <v>73</v>
      </c>
      <c r="E12">
        <v>4103</v>
      </c>
      <c r="F12" t="str">
        <f>+CONCATENATE(Xero_Tax_Acc[[#This Row],[Line Item]]," - ",Xero_Tax_Acc[[#This Row],[Currency]]," - ",Xero_Tax_Acc[[#This Row],[Pipeline]])</f>
        <v>PT Zoho Developer - AUD - Sales Pipeline</v>
      </c>
      <c r="H12" t="str">
        <v>PT Zoho Developer - AUD - Sales Pipeline</v>
      </c>
    </row>
    <row r="13" spans="1:8" hidden="1">
      <c r="A13" t="s">
        <v>84</v>
      </c>
      <c r="B13" t="s">
        <v>40</v>
      </c>
      <c r="C13" t="s">
        <v>41</v>
      </c>
      <c r="D13" t="s">
        <v>73</v>
      </c>
      <c r="E13">
        <v>4105</v>
      </c>
      <c r="F13" t="str">
        <f>+CONCATENATE(Xero_Tax_Acc[[#This Row],[Line Item]]," - ",Xero_Tax_Acc[[#This Row],[Currency]]," - ",Xero_Tax_Acc[[#This Row],[Pipeline]])</f>
        <v>Full Time Custom Staff Aug - AUD - Sales Pipeline</v>
      </c>
      <c r="H13" t="str">
        <v>Full Time Custom Staff Aug - AUD - Sales Pipeline</v>
      </c>
    </row>
    <row r="14" spans="1:8" hidden="1">
      <c r="A14" t="s">
        <v>85</v>
      </c>
      <c r="B14" t="s">
        <v>40</v>
      </c>
      <c r="C14" t="s">
        <v>41</v>
      </c>
      <c r="D14" t="s">
        <v>73</v>
      </c>
      <c r="E14">
        <v>4102</v>
      </c>
      <c r="F14" t="str">
        <f>+CONCATENATE(Xero_Tax_Acc[[#This Row],[Line Item]]," - ",Xero_Tax_Acc[[#This Row],[Currency]]," - ",Xero_Tax_Acc[[#This Row],[Pipeline]])</f>
        <v>Full Time Medical Staff - AUD - Sales Pipeline</v>
      </c>
      <c r="H14" t="str">
        <v>Full Time Medical Staff - AUD - Sales Pipeline</v>
      </c>
    </row>
    <row r="15" spans="1:8" hidden="1">
      <c r="A15" t="s">
        <v>86</v>
      </c>
      <c r="B15" t="s">
        <v>40</v>
      </c>
      <c r="C15" t="s">
        <v>41</v>
      </c>
      <c r="D15" t="s">
        <v>73</v>
      </c>
      <c r="E15">
        <v>4105</v>
      </c>
      <c r="F15" t="str">
        <f>+CONCATENATE(Xero_Tax_Acc[[#This Row],[Line Item]]," - ",Xero_Tax_Acc[[#This Row],[Currency]]," - ",Xero_Tax_Acc[[#This Row],[Pipeline]])</f>
        <v>Part Time Custom Staff Aug - AUD - Sales Pipeline</v>
      </c>
      <c r="H15" t="str">
        <v>Part Time Custom Staff Aug - AUD - Sales Pipeline</v>
      </c>
    </row>
    <row r="16" spans="1:8" hidden="1">
      <c r="A16" t="s">
        <v>87</v>
      </c>
      <c r="B16" t="s">
        <v>40</v>
      </c>
      <c r="C16" t="s">
        <v>41</v>
      </c>
      <c r="D16" t="s">
        <v>73</v>
      </c>
      <c r="E16">
        <v>4103</v>
      </c>
      <c r="F16" t="str">
        <f>+CONCATENATE(Xero_Tax_Acc[[#This Row],[Line Item]]," - ",Xero_Tax_Acc[[#This Row],[Currency]]," - ",Xero_Tax_Acc[[#This Row],[Pipeline]])</f>
        <v>PT Accountant - AUD - Sales Pipeline</v>
      </c>
      <c r="H16" t="str">
        <v>PT Accountant - AUD - Sales Pipeline</v>
      </c>
    </row>
    <row r="17" spans="1:8" hidden="1">
      <c r="A17" t="s">
        <v>88</v>
      </c>
      <c r="B17" t="s">
        <v>40</v>
      </c>
      <c r="C17" t="s">
        <v>41</v>
      </c>
      <c r="D17" t="s">
        <v>73</v>
      </c>
      <c r="E17">
        <v>4102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  <c r="H17" t="str">
        <v>FT Wealth Management Virtual Assistant - AUD - Sales Pipeline</v>
      </c>
    </row>
    <row r="18" spans="1:8" hidden="1">
      <c r="A18" t="s">
        <v>89</v>
      </c>
      <c r="B18" t="s">
        <v>40</v>
      </c>
      <c r="C18" t="s">
        <v>41</v>
      </c>
      <c r="D18" t="s">
        <v>73</v>
      </c>
      <c r="E18">
        <v>4103</v>
      </c>
      <c r="F18" t="str">
        <f>+CONCATENATE(Xero_Tax_Acc[[#This Row],[Line Item]]," - ",Xero_Tax_Acc[[#This Row],[Currency]]," - ",Xero_Tax_Acc[[#This Row],[Pipeline]])</f>
        <v>PT Bookkeeping - AUD - Sales Pipeline</v>
      </c>
      <c r="H18" t="str">
        <v>PT Bookkeeping - AUD - Sales Pipeline</v>
      </c>
    </row>
    <row r="19" spans="1:8" hidden="1">
      <c r="A19" t="s">
        <v>90</v>
      </c>
      <c r="B19" t="s">
        <v>40</v>
      </c>
      <c r="C19" t="s">
        <v>41</v>
      </c>
      <c r="D19" t="s">
        <v>73</v>
      </c>
      <c r="E19">
        <v>4202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  <c r="H19" t="str">
        <v>Dedicated 24x7x365 Digital Assistant - AUD - Sales Pipeline</v>
      </c>
    </row>
    <row r="20" spans="1:8" hidden="1">
      <c r="A20" t="s">
        <v>91</v>
      </c>
      <c r="B20" t="s">
        <v>40</v>
      </c>
      <c r="C20" t="s">
        <v>41</v>
      </c>
      <c r="D20" t="s">
        <v>73</v>
      </c>
      <c r="E20">
        <v>4300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  <c r="H20" t="str">
        <v>Data Analytics Managed Service - AUD - Sales Pipeline</v>
      </c>
    </row>
    <row r="21" spans="1:8" hidden="1">
      <c r="A21" t="s">
        <v>92</v>
      </c>
      <c r="B21" t="s">
        <v>40</v>
      </c>
      <c r="C21" t="s">
        <v>41</v>
      </c>
      <c r="D21" t="s">
        <v>73</v>
      </c>
      <c r="E21">
        <v>4302</v>
      </c>
      <c r="F21" t="str">
        <f>+CONCATENATE(Xero_Tax_Acc[[#This Row],[Line Item]]," - ",Xero_Tax_Acc[[#This Row],[Currency]]," - ",Xero_Tax_Acc[[#This Row],[Pipeline]])</f>
        <v>Data Analytics Implementation - AUD - Sales Pipeline</v>
      </c>
      <c r="H21" t="str">
        <v>Data Analytics Implementation - AUD - Sales Pipeline</v>
      </c>
    </row>
    <row r="22" spans="1:8" hidden="1">
      <c r="A22" t="s">
        <v>93</v>
      </c>
      <c r="B22" t="s">
        <v>40</v>
      </c>
      <c r="C22" t="s">
        <v>41</v>
      </c>
      <c r="D22" t="s">
        <v>73</v>
      </c>
      <c r="E22">
        <v>4102</v>
      </c>
      <c r="F22" t="str">
        <f>+CONCATENATE(Xero_Tax_Acc[[#This Row],[Line Item]]," - ",Xero_Tax_Acc[[#This Row],[Currency]]," - ",Xero_Tax_Acc[[#This Row],[Pipeline]])</f>
        <v>FT RPA Developer - AUD - Sales Pipeline</v>
      </c>
      <c r="H22" t="str">
        <v>FT RPA Developer - AUD - Sales Pipeline</v>
      </c>
    </row>
    <row r="23" spans="1:8" hidden="1">
      <c r="A23" t="s">
        <v>94</v>
      </c>
      <c r="B23" t="s">
        <v>40</v>
      </c>
      <c r="C23" t="s">
        <v>41</v>
      </c>
      <c r="D23" t="s">
        <v>73</v>
      </c>
      <c r="E23">
        <v>4201</v>
      </c>
      <c r="F23" t="str">
        <f>+CONCATENATE(Xero_Tax_Acc[[#This Row],[Line Item]]," - ",Xero_Tax_Acc[[#This Row],[Currency]]," - ",Xero_Tax_Acc[[#This Row],[Pipeline]])</f>
        <v>DA Implementation Team - AUD - Sales Pipeline</v>
      </c>
      <c r="H23" t="str">
        <v>DA Implementation Team - AUD - Sales Pipeline</v>
      </c>
    </row>
    <row r="24" spans="1:8" hidden="1">
      <c r="A24" t="s">
        <v>95</v>
      </c>
      <c r="B24" t="s">
        <v>40</v>
      </c>
      <c r="C24" t="s">
        <v>41</v>
      </c>
      <c r="D24" t="s">
        <v>73</v>
      </c>
      <c r="E24">
        <v>4202</v>
      </c>
      <c r="F24" t="str">
        <f>+CONCATENATE(Xero_Tax_Acc[[#This Row],[Line Item]]," - ",Xero_Tax_Acc[[#This Row],[Currency]]," - ",Xero_Tax_Acc[[#This Row],[Pipeline]])</f>
        <v>AI Data Extraction per page - AUD - Sales Pipeline</v>
      </c>
      <c r="H24" t="str">
        <v>AI Data Extraction per page - AUD - Sales Pipeline</v>
      </c>
    </row>
    <row r="25" spans="1:8" hidden="1">
      <c r="A25" t="s">
        <v>96</v>
      </c>
      <c r="B25" t="s">
        <v>40</v>
      </c>
      <c r="C25" t="s">
        <v>41</v>
      </c>
      <c r="D25" t="s">
        <v>73</v>
      </c>
      <c r="E25">
        <v>4202</v>
      </c>
      <c r="F25" t="str">
        <f>+CONCATENATE(Xero_Tax_Acc[[#This Row],[Line Item]]," - ",Xero_Tax_Acc[[#This Row],[Currency]]," - ",Xero_Tax_Acc[[#This Row],[Pipeline]])</f>
        <v>Fractional Digital Assistant - AUD - Sales Pipeline</v>
      </c>
      <c r="H25" t="str">
        <v>Fractional Digital Assistant - AUD - Sales Pipeline</v>
      </c>
    </row>
    <row r="26" spans="1:8" hidden="1">
      <c r="A26" t="s">
        <v>97</v>
      </c>
      <c r="B26" t="s">
        <v>40</v>
      </c>
      <c r="C26" t="s">
        <v>41</v>
      </c>
      <c r="D26" t="s">
        <v>73</v>
      </c>
      <c r="E26">
        <v>4203</v>
      </c>
      <c r="F26" t="str">
        <f>+CONCATENATE(Xero_Tax_Acc[[#This Row],[Line Item]]," - ",Xero_Tax_Acc[[#This Row],[Currency]]," - ",Xero_Tax_Acc[[#This Row],[Pipeline]])</f>
        <v>AI Workshop - AUD - Sales Pipeline</v>
      </c>
      <c r="H26" t="str">
        <v>AI Workshop - AUD - Sales Pipeline</v>
      </c>
    </row>
    <row r="27" spans="1:8">
      <c r="A27" t="s">
        <v>98</v>
      </c>
      <c r="B27" t="s">
        <v>40</v>
      </c>
      <c r="C27" t="s">
        <v>41</v>
      </c>
      <c r="D27" t="s">
        <v>73</v>
      </c>
      <c r="E27">
        <v>4102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  <c r="H27" t="str">
        <v>Background Verification Check Fee - AUD - Sales Pipeline</v>
      </c>
    </row>
    <row r="28" spans="1:8" hidden="1">
      <c r="A28" t="s">
        <v>99</v>
      </c>
      <c r="B28" t="s">
        <v>40</v>
      </c>
      <c r="C28" t="s">
        <v>41</v>
      </c>
      <c r="D28" t="s">
        <v>73</v>
      </c>
      <c r="E28">
        <v>4105</v>
      </c>
      <c r="F28" t="str">
        <f>+CONCATENATE(Xero_Tax_Acc[[#This Row],[Line Item]]," - ",Xero_Tax_Acc[[#This Row],[Currency]]," - ",Xero_Tax_Acc[[#This Row],[Pipeline]])</f>
        <v>Onboarding Setup - AUD - Sales Pipeline</v>
      </c>
      <c r="H28" t="str">
        <v>Onboarding Setup - AUD - Sales Pipeline</v>
      </c>
    </row>
    <row r="29" spans="1:8" hidden="1">
      <c r="A29" t="s">
        <v>100</v>
      </c>
      <c r="B29" t="s">
        <v>40</v>
      </c>
      <c r="C29" t="s">
        <v>41</v>
      </c>
      <c r="D29" t="s">
        <v>73</v>
      </c>
      <c r="E29">
        <v>4102</v>
      </c>
      <c r="F29" t="str">
        <f>+CONCATENATE(Xero_Tax_Acc[[#This Row],[Line Item]]," - ",Xero_Tax_Acc[[#This Row],[Currency]]," - ",Xero_Tax_Acc[[#This Row],[Pipeline]])</f>
        <v>T&amp;M Staff Augmentation - AUD - Sales Pipeline</v>
      </c>
      <c r="H29" t="str">
        <v>T&amp;M Staff Augmentation - AUD - Sales Pipeline</v>
      </c>
    </row>
    <row r="30" spans="1:8" hidden="1">
      <c r="A30" t="s">
        <v>101</v>
      </c>
      <c r="B30" t="s">
        <v>40</v>
      </c>
      <c r="C30" t="s">
        <v>41</v>
      </c>
      <c r="D30" t="s">
        <v>73</v>
      </c>
      <c r="E30">
        <v>4301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  <c r="H30" t="str">
        <v>Custom Data Analytics Consulting - T&amp;M - AUD - Sales Pipeline</v>
      </c>
    </row>
    <row r="31" spans="1:8" hidden="1">
      <c r="A31" t="s">
        <v>102</v>
      </c>
      <c r="B31" t="s">
        <v>40</v>
      </c>
      <c r="C31" t="s">
        <v>41</v>
      </c>
      <c r="D31" t="s">
        <v>73</v>
      </c>
      <c r="E31">
        <v>4300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  <c r="H31" t="str">
        <v>Data Analytics - Basic Maintenance - AUD - Sales Pipeline</v>
      </c>
    </row>
    <row r="32" spans="1:8" hidden="1">
      <c r="A32" t="s">
        <v>103</v>
      </c>
      <c r="B32" t="s">
        <v>40</v>
      </c>
      <c r="C32" t="s">
        <v>41</v>
      </c>
      <c r="D32" t="s">
        <v>73</v>
      </c>
      <c r="E32">
        <v>4300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  <c r="H32" t="str">
        <v>Data Analytics - Light Managed Service - AUD - Sales Pipeline</v>
      </c>
    </row>
    <row r="33" spans="1:8" hidden="1">
      <c r="A33" t="s">
        <v>104</v>
      </c>
      <c r="B33" t="s">
        <v>40</v>
      </c>
      <c r="C33" t="s">
        <v>41</v>
      </c>
      <c r="D33" t="s">
        <v>73</v>
      </c>
      <c r="E33">
        <v>4300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  <c r="H33" t="str">
        <v>Data Analytics - Managed Service - AUD - Sales Pipeline</v>
      </c>
    </row>
    <row r="34" spans="1:8" hidden="1">
      <c r="A34" t="s">
        <v>105</v>
      </c>
      <c r="B34" t="s">
        <v>40</v>
      </c>
      <c r="C34" t="s">
        <v>41</v>
      </c>
      <c r="D34" t="s">
        <v>73</v>
      </c>
      <c r="E34">
        <v>4302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  <c r="H34" t="str">
        <v>Data Analytics - Prototype Model - AUD - Sales Pipeline</v>
      </c>
    </row>
    <row r="35" spans="1:8">
      <c r="A35" t="s">
        <v>106</v>
      </c>
      <c r="B35" t="s">
        <v>40</v>
      </c>
      <c r="C35" t="s">
        <v>44</v>
      </c>
      <c r="D35" t="s">
        <v>73</v>
      </c>
      <c r="E35">
        <v>4400</v>
      </c>
      <c r="F35" t="str">
        <f>+CONCATENATE(Xero_Tax_Acc[[#This Row],[Line Item]]," - ",Xero_Tax_Acc[[#This Row],[Currency]]," - ",Xero_Tax_Acc[[#This Row],[Pipeline]])</f>
        <v>Reseller Monthly Fee - AUD - Reseller Pipeline</v>
      </c>
      <c r="H35" t="str">
        <v>Reseller Monthly Fee - AUD - Reseller Pipeline</v>
      </c>
    </row>
    <row r="36" spans="1:8">
      <c r="A36" t="s">
        <v>107</v>
      </c>
      <c r="B36" t="s">
        <v>40</v>
      </c>
      <c r="C36" t="s">
        <v>43</v>
      </c>
      <c r="D36" t="s">
        <v>73</v>
      </c>
      <c r="E36">
        <v>401</v>
      </c>
      <c r="F36" t="str">
        <f>+CONCATENATE(Xero_Tax_Acc[[#This Row],[Line Item]]," - ",Xero_Tax_Acc[[#This Row],[Currency]]," - ",Xero_Tax_Acc[[#This Row],[Pipeline]])</f>
        <v>Franchise Setup Fee  - AUD - Franchise Pipeline</v>
      </c>
      <c r="H36" t="str">
        <v>Franchise Setup Fee  - AUD - Franchise Pipeline</v>
      </c>
    </row>
    <row r="37" spans="1:8">
      <c r="A37" t="s">
        <v>108</v>
      </c>
      <c r="B37" t="s">
        <v>40</v>
      </c>
      <c r="C37" t="s">
        <v>43</v>
      </c>
      <c r="D37" t="s">
        <v>73</v>
      </c>
      <c r="E37">
        <v>402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  <c r="H37" t="str">
        <v>Monthly Lead Gen Tech Stack Fee - AUD - Franchise Pipeline</v>
      </c>
    </row>
    <row r="38" spans="1:8">
      <c r="A38" t="s">
        <v>109</v>
      </c>
      <c r="B38" t="s">
        <v>40</v>
      </c>
      <c r="C38" t="s">
        <v>43</v>
      </c>
      <c r="D38" t="s">
        <v>73</v>
      </c>
      <c r="E38">
        <v>403</v>
      </c>
      <c r="F38" t="str">
        <f>+CONCATENATE(Xero_Tax_Acc[[#This Row],[Line Item]]," - ",Xero_Tax_Acc[[#This Row],[Currency]]," - ",Xero_Tax_Acc[[#This Row],[Pipeline]])</f>
        <v>Monthly Advertisement Fee - AUD - Franchise Pipeline</v>
      </c>
      <c r="H38" t="str">
        <v>Monthly Advertisement Fee - AUD - Franchise Pipeline</v>
      </c>
    </row>
    <row r="39" spans="1:8">
      <c r="A39" t="s">
        <v>110</v>
      </c>
      <c r="B39" t="s">
        <v>40</v>
      </c>
      <c r="C39" t="s">
        <v>43</v>
      </c>
      <c r="D39" t="s">
        <v>73</v>
      </c>
      <c r="E39">
        <v>404</v>
      </c>
      <c r="F39" t="str">
        <f>+CONCATENATE(Xero_Tax_Acc[[#This Row],[Line Item]]," - ",Xero_Tax_Acc[[#This Row],[Currency]]," - ",Xero_Tax_Acc[[#This Row],[Pipeline]])</f>
        <v>Monthly Support Fee - AUD - Franchise Pipeline</v>
      </c>
      <c r="H39" t="str">
        <v>Monthly Support Fee - AUD - Franchise Pipeline</v>
      </c>
    </row>
    <row r="40" spans="1:8">
      <c r="A40" t="s">
        <v>111</v>
      </c>
      <c r="B40" t="s">
        <v>40</v>
      </c>
      <c r="C40" t="s">
        <v>43</v>
      </c>
      <c r="D40" t="s">
        <v>73</v>
      </c>
      <c r="E40">
        <v>405</v>
      </c>
      <c r="F40" t="str">
        <f>+CONCATENATE(Xero_Tax_Acc[[#This Row],[Line Item]]," - ",Xero_Tax_Acc[[#This Row],[Currency]]," - ",Xero_Tax_Acc[[#This Row],[Pipeline]])</f>
        <v>Annual Conference Fee - AUD - Franchise Pipeline</v>
      </c>
      <c r="H40" t="str">
        <v>Annual Conference Fee - AUD - Franchise Pipeline</v>
      </c>
    </row>
    <row r="41" spans="1:8">
      <c r="A41" t="s">
        <v>112</v>
      </c>
      <c r="B41" t="s">
        <v>40</v>
      </c>
      <c r="C41" t="s">
        <v>43</v>
      </c>
      <c r="D41" t="s">
        <v>73</v>
      </c>
      <c r="E41">
        <v>406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  <c r="H41" t="str">
        <v>Monthly Consultant Access Fee - AUD - Franchise Pipeline</v>
      </c>
    </row>
    <row r="42" spans="1:8" hidden="1">
      <c r="A42" t="s">
        <v>113</v>
      </c>
      <c r="B42" t="s">
        <v>40</v>
      </c>
      <c r="C42" t="s">
        <v>41</v>
      </c>
      <c r="D42" t="s">
        <v>73</v>
      </c>
      <c r="E42">
        <v>4202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  <c r="H42" t="str">
        <v>COMPLEX - Ai Powered Data Extraction - AUD - Sales Pipeline</v>
      </c>
    </row>
    <row r="43" spans="1:8" hidden="1">
      <c r="A43" t="s">
        <v>114</v>
      </c>
      <c r="B43" t="s">
        <v>40</v>
      </c>
      <c r="C43" t="s">
        <v>41</v>
      </c>
      <c r="D43" t="s">
        <v>73</v>
      </c>
      <c r="E43">
        <v>4202</v>
      </c>
      <c r="F43" t="str">
        <f>+CONCATENATE(Xero_Tax_Acc[[#This Row],[Line Item]]," - ",Xero_Tax_Acc[[#This Row],[Currency]]," - ",Xero_Tax_Acc[[#This Row],[Pipeline]])</f>
        <v>Ai Powered Data Extraction - AUD - Sales Pipeline</v>
      </c>
      <c r="H43" t="str">
        <v>Ai Powered Data Extraction - AUD - Sales Pipeline</v>
      </c>
    </row>
    <row r="44" spans="1:8" hidden="1">
      <c r="A44" t="s">
        <v>115</v>
      </c>
      <c r="B44" t="s">
        <v>40</v>
      </c>
      <c r="C44" t="s">
        <v>41</v>
      </c>
      <c r="D44" t="s">
        <v>73</v>
      </c>
      <c r="E44">
        <v>4202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  <c r="H44" t="str">
        <v>Digital Assistant - upto 250k Executions - AUD - Sales Pipeline</v>
      </c>
    </row>
    <row r="45" spans="1:8" hidden="1">
      <c r="A45" t="s">
        <v>116</v>
      </c>
      <c r="B45" t="s">
        <v>40</v>
      </c>
      <c r="C45" t="s">
        <v>41</v>
      </c>
      <c r="D45" t="s">
        <v>73</v>
      </c>
      <c r="E45">
        <v>4202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  <c r="H45" t="str">
        <v>Digital Assistant - upto 100k Executions - AUD - Sales Pipeline</v>
      </c>
    </row>
    <row r="46" spans="1:8" hidden="1">
      <c r="A46" t="s">
        <v>117</v>
      </c>
      <c r="B46" t="s">
        <v>40</v>
      </c>
      <c r="C46" t="s">
        <v>41</v>
      </c>
      <c r="D46" t="s">
        <v>73</v>
      </c>
      <c r="E46">
        <v>4202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  <c r="H46" t="str">
        <v>Digital Assistant - upto 50k Executions - AUD - Sales Pipeline</v>
      </c>
    </row>
    <row r="47" spans="1:8" hidden="1">
      <c r="A47" t="s">
        <v>118</v>
      </c>
      <c r="B47" t="s">
        <v>40</v>
      </c>
      <c r="C47" t="s">
        <v>41</v>
      </c>
      <c r="D47" t="s">
        <v>73</v>
      </c>
      <c r="E47">
        <v>4202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  <c r="H47" t="str">
        <v>Digital Assistant - upto 10k Executions - AUD - Sales Pipeline</v>
      </c>
    </row>
    <row r="48" spans="1:8" hidden="1">
      <c r="A48" t="s">
        <v>119</v>
      </c>
      <c r="B48" t="s">
        <v>40</v>
      </c>
      <c r="C48" t="s">
        <v>120</v>
      </c>
      <c r="D48" t="s">
        <v>73</v>
      </c>
      <c r="E48">
        <v>4401</v>
      </c>
      <c r="F48" t="str">
        <f>+CONCATENATE(Xero_Tax_Acc[[#This Row],[Line Item]]," - ",Xero_Tax_Acc[[#This Row],[Currency]]," - ",Xero_Tax_Acc[[#This Row],[Pipeline]])</f>
        <v>MSP Reseller - AUD - MSP Pipeline</v>
      </c>
      <c r="H48" t="str">
        <v>MSP Reseller - AUD - MSP Pipeline</v>
      </c>
    </row>
    <row r="49" spans="1:8" hidden="1">
      <c r="A49" t="s">
        <v>121</v>
      </c>
      <c r="B49" t="s">
        <v>40</v>
      </c>
      <c r="C49" t="s">
        <v>120</v>
      </c>
      <c r="D49" t="s">
        <v>73</v>
      </c>
      <c r="E49">
        <v>4401</v>
      </c>
      <c r="F49" t="str">
        <f>+CONCATENATE(Xero_Tax_Acc[[#This Row],[Line Item]]," - ",Xero_Tax_Acc[[#This Row],[Currency]]," - ",Xero_Tax_Acc[[#This Row],[Pipeline]])</f>
        <v>MSP Referral Partner - AUD - MSP Pipeline</v>
      </c>
      <c r="H49" t="str">
        <v>MSP Referral Partner - AUD - MSP Pipeline</v>
      </c>
    </row>
    <row r="50" spans="1:8" hidden="1">
      <c r="A50" t="s">
        <v>122</v>
      </c>
      <c r="B50" t="s">
        <v>40</v>
      </c>
      <c r="C50" t="s">
        <v>120</v>
      </c>
      <c r="D50" t="s">
        <v>73</v>
      </c>
      <c r="E50">
        <v>4401</v>
      </c>
      <c r="F50" t="str">
        <f>+CONCATENATE(Xero_Tax_Acc[[#This Row],[Line Item]]," - ",Xero_Tax_Acc[[#This Row],[Currency]]," - ",Xero_Tax_Acc[[#This Row],[Pipeline]])</f>
        <v>MSP Service Delivery Partner - AUD - MSP Pipeline</v>
      </c>
      <c r="H50" t="str">
        <v>MSP Service Delivery Partner - AUD - MSP Pipeline</v>
      </c>
    </row>
    <row r="51" spans="1:8" hidden="1">
      <c r="A51" t="s">
        <v>72</v>
      </c>
      <c r="B51" t="s">
        <v>47</v>
      </c>
      <c r="C51" t="s">
        <v>41</v>
      </c>
      <c r="D51" t="s">
        <v>123</v>
      </c>
      <c r="E51">
        <v>4102</v>
      </c>
      <c r="F51" t="str">
        <f>+CONCATENATE(Xero_Tax_Acc[[#This Row],[Line Item]]," - ",Xero_Tax_Acc[[#This Row],[Currency]]," - ",Xero_Tax_Acc[[#This Row],[Pipeline]])</f>
        <v>FT Accountant - NZD - Sales Pipeline</v>
      </c>
      <c r="H51" t="str">
        <v>FT Accountant - NZD - Sales Pipeline</v>
      </c>
    </row>
    <row r="52" spans="1:8" hidden="1">
      <c r="A52" t="s">
        <v>74</v>
      </c>
      <c r="B52" t="s">
        <v>47</v>
      </c>
      <c r="C52" t="s">
        <v>41</v>
      </c>
      <c r="D52" t="s">
        <v>123</v>
      </c>
      <c r="E52">
        <v>4102</v>
      </c>
      <c r="F52" t="str">
        <f>+CONCATENATE(Xero_Tax_Acc[[#This Row],[Line Item]]," - ",Xero_Tax_Acc[[#This Row],[Currency]]," - ",Xero_Tax_Acc[[#This Row],[Pipeline]])</f>
        <v>FT Zoho Developer - NZD - Sales Pipeline</v>
      </c>
      <c r="H52" t="str">
        <v>FT Zoho Developer - NZD - Sales Pipeline</v>
      </c>
    </row>
    <row r="53" spans="1:8" hidden="1">
      <c r="A53" t="s">
        <v>75</v>
      </c>
      <c r="B53" t="s">
        <v>47</v>
      </c>
      <c r="C53" t="s">
        <v>41</v>
      </c>
      <c r="D53" t="s">
        <v>123</v>
      </c>
      <c r="E53">
        <v>4103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  <c r="H53" t="str">
        <v>PT Wealth Management Paraplanner - NZD - Sales Pipeline</v>
      </c>
    </row>
    <row r="54" spans="1:8" hidden="1">
      <c r="A54" t="s">
        <v>76</v>
      </c>
      <c r="B54" t="s">
        <v>47</v>
      </c>
      <c r="C54" t="s">
        <v>41</v>
      </c>
      <c r="D54" t="s">
        <v>123</v>
      </c>
      <c r="E54">
        <v>4102</v>
      </c>
      <c r="F54" t="str">
        <f>+CONCATENATE(Xero_Tax_Acc[[#This Row],[Line Item]]," - ",Xero_Tax_Acc[[#This Row],[Currency]]," - ",Xero_Tax_Acc[[#This Row],[Pipeline]])</f>
        <v>FT Salesforce Developer - NZD - Sales Pipeline</v>
      </c>
      <c r="H54" t="str">
        <v>FT Salesforce Developer - NZD - Sales Pipeline</v>
      </c>
    </row>
    <row r="55" spans="1:8" hidden="1">
      <c r="A55" t="s">
        <v>77</v>
      </c>
      <c r="B55" t="s">
        <v>47</v>
      </c>
      <c r="C55" t="s">
        <v>41</v>
      </c>
      <c r="D55" t="s">
        <v>123</v>
      </c>
      <c r="E55">
        <v>4102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  <c r="H55" t="str">
        <v>FT Wealth Management Paraplanner - NZD - Sales Pipeline</v>
      </c>
    </row>
    <row r="56" spans="1:8" hidden="1">
      <c r="A56" t="s">
        <v>78</v>
      </c>
      <c r="B56" t="s">
        <v>47</v>
      </c>
      <c r="C56" t="s">
        <v>41</v>
      </c>
      <c r="D56" t="s">
        <v>123</v>
      </c>
      <c r="E56">
        <v>4102</v>
      </c>
      <c r="F56" t="str">
        <f>+CONCATENATE(Xero_Tax_Acc[[#This Row],[Line Item]]," - ",Xero_Tax_Acc[[#This Row],[Currency]]," - ",Xero_Tax_Acc[[#This Row],[Pipeline]])</f>
        <v>Full Stack Developer - NZD - Sales Pipeline</v>
      </c>
      <c r="H56" t="str">
        <v>Full Stack Developer - NZD - Sales Pipeline</v>
      </c>
    </row>
    <row r="57" spans="1:8" hidden="1">
      <c r="A57" t="s">
        <v>79</v>
      </c>
      <c r="B57" t="s">
        <v>47</v>
      </c>
      <c r="C57" t="s">
        <v>41</v>
      </c>
      <c r="D57" t="s">
        <v>123</v>
      </c>
      <c r="E57">
        <v>4105</v>
      </c>
      <c r="F57" t="str">
        <f>+CONCATENATE(Xero_Tax_Acc[[#This Row],[Line Item]]," - ",Xero_Tax_Acc[[#This Row],[Currency]]," - ",Xero_Tax_Acc[[#This Row],[Pipeline]])</f>
        <v>Custom Service - NZD - Sales Pipeline</v>
      </c>
      <c r="H57" t="str">
        <v>Custom Service - NZD - Sales Pipeline</v>
      </c>
    </row>
    <row r="58" spans="1:8" hidden="1">
      <c r="A58" t="s">
        <v>80</v>
      </c>
      <c r="B58" t="s">
        <v>47</v>
      </c>
      <c r="C58" t="s">
        <v>41</v>
      </c>
      <c r="D58" t="s">
        <v>123</v>
      </c>
      <c r="E58">
        <v>4103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  <c r="H58" t="str">
        <v>PT Wealth Management Virtual Assistant - NZD - Sales Pipeline</v>
      </c>
    </row>
    <row r="59" spans="1:8" hidden="1">
      <c r="A59" t="s">
        <v>81</v>
      </c>
      <c r="B59" t="s">
        <v>47</v>
      </c>
      <c r="C59" t="s">
        <v>41</v>
      </c>
      <c r="D59" t="s">
        <v>123</v>
      </c>
      <c r="E59">
        <v>4102</v>
      </c>
      <c r="F59" t="str">
        <f>+CONCATENATE(Xero_Tax_Acc[[#This Row],[Line Item]]," - ",Xero_Tax_Acc[[#This Row],[Currency]]," - ",Xero_Tax_Acc[[#This Row],[Pipeline]])</f>
        <v>FT Bookkeeping - NZD - Sales Pipeline</v>
      </c>
      <c r="H59" t="str">
        <v>FT Bookkeeping - NZD - Sales Pipeline</v>
      </c>
    </row>
    <row r="60" spans="1:8" hidden="1">
      <c r="A60" t="s">
        <v>82</v>
      </c>
      <c r="B60" t="s">
        <v>47</v>
      </c>
      <c r="C60" t="s">
        <v>41</v>
      </c>
      <c r="D60" t="s">
        <v>123</v>
      </c>
      <c r="E60">
        <v>4102</v>
      </c>
      <c r="F60" t="str">
        <f>+CONCATENATE(Xero_Tax_Acc[[#This Row],[Line Item]]," - ",Xero_Tax_Acc[[#This Row],[Currency]]," - ",Xero_Tax_Acc[[#This Row],[Pipeline]])</f>
        <v>Oracle HCM Cloud Developer - NZD - Sales Pipeline</v>
      </c>
      <c r="H60" t="str">
        <v>Oracle HCM Cloud Developer - NZD - Sales Pipeline</v>
      </c>
    </row>
    <row r="61" spans="1:8" hidden="1">
      <c r="A61" t="s">
        <v>83</v>
      </c>
      <c r="B61" t="s">
        <v>47</v>
      </c>
      <c r="C61" t="s">
        <v>41</v>
      </c>
      <c r="D61" t="s">
        <v>123</v>
      </c>
      <c r="E61">
        <v>4103</v>
      </c>
      <c r="F61" t="str">
        <f>+CONCATENATE(Xero_Tax_Acc[[#This Row],[Line Item]]," - ",Xero_Tax_Acc[[#This Row],[Currency]]," - ",Xero_Tax_Acc[[#This Row],[Pipeline]])</f>
        <v>PT Zoho Developer - NZD - Sales Pipeline</v>
      </c>
      <c r="H61" t="str">
        <v>PT Zoho Developer - NZD - Sales Pipeline</v>
      </c>
    </row>
    <row r="62" spans="1:8" hidden="1">
      <c r="A62" t="s">
        <v>84</v>
      </c>
      <c r="B62" t="s">
        <v>47</v>
      </c>
      <c r="C62" t="s">
        <v>41</v>
      </c>
      <c r="D62" t="s">
        <v>123</v>
      </c>
      <c r="E62">
        <v>4105</v>
      </c>
      <c r="F62" t="str">
        <f>+CONCATENATE(Xero_Tax_Acc[[#This Row],[Line Item]]," - ",Xero_Tax_Acc[[#This Row],[Currency]]," - ",Xero_Tax_Acc[[#This Row],[Pipeline]])</f>
        <v>Full Time Custom Staff Aug - NZD - Sales Pipeline</v>
      </c>
      <c r="H62" t="str">
        <v>Full Time Custom Staff Aug - NZD - Sales Pipeline</v>
      </c>
    </row>
    <row r="63" spans="1:8" hidden="1">
      <c r="A63" t="s">
        <v>85</v>
      </c>
      <c r="B63" t="s">
        <v>47</v>
      </c>
      <c r="C63" t="s">
        <v>41</v>
      </c>
      <c r="D63" t="s">
        <v>123</v>
      </c>
      <c r="E63">
        <v>4102</v>
      </c>
      <c r="F63" t="str">
        <f>+CONCATENATE(Xero_Tax_Acc[[#This Row],[Line Item]]," - ",Xero_Tax_Acc[[#This Row],[Currency]]," - ",Xero_Tax_Acc[[#This Row],[Pipeline]])</f>
        <v>Full Time Medical Staff - NZD - Sales Pipeline</v>
      </c>
      <c r="H63" t="str">
        <v>Full Time Medical Staff - NZD - Sales Pipeline</v>
      </c>
    </row>
    <row r="64" spans="1:8" hidden="1">
      <c r="A64" t="s">
        <v>86</v>
      </c>
      <c r="B64" t="s">
        <v>47</v>
      </c>
      <c r="C64" t="s">
        <v>41</v>
      </c>
      <c r="D64" t="s">
        <v>123</v>
      </c>
      <c r="E64">
        <v>4105</v>
      </c>
      <c r="F64" t="str">
        <f>+CONCATENATE(Xero_Tax_Acc[[#This Row],[Line Item]]," - ",Xero_Tax_Acc[[#This Row],[Currency]]," - ",Xero_Tax_Acc[[#This Row],[Pipeline]])</f>
        <v>Part Time Custom Staff Aug - NZD - Sales Pipeline</v>
      </c>
      <c r="H64" t="str">
        <v>Part Time Custom Staff Aug - NZD - Sales Pipeline</v>
      </c>
    </row>
    <row r="65" spans="1:8" hidden="1">
      <c r="A65" t="s">
        <v>87</v>
      </c>
      <c r="B65" t="s">
        <v>47</v>
      </c>
      <c r="C65" t="s">
        <v>41</v>
      </c>
      <c r="D65" t="s">
        <v>123</v>
      </c>
      <c r="E65">
        <v>4103</v>
      </c>
      <c r="F65" t="str">
        <f>+CONCATENATE(Xero_Tax_Acc[[#This Row],[Line Item]]," - ",Xero_Tax_Acc[[#This Row],[Currency]]," - ",Xero_Tax_Acc[[#This Row],[Pipeline]])</f>
        <v>PT Accountant - NZD - Sales Pipeline</v>
      </c>
      <c r="H65" t="str">
        <v>PT Accountant - NZD - Sales Pipeline</v>
      </c>
    </row>
    <row r="66" spans="1:8" hidden="1">
      <c r="A66" t="s">
        <v>88</v>
      </c>
      <c r="B66" t="s">
        <v>47</v>
      </c>
      <c r="C66" t="s">
        <v>41</v>
      </c>
      <c r="D66" t="s">
        <v>123</v>
      </c>
      <c r="E66">
        <v>4102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  <c r="H66" t="str">
        <v>FT Wealth Management Virtual Assistant - NZD - Sales Pipeline</v>
      </c>
    </row>
    <row r="67" spans="1:8" hidden="1">
      <c r="A67" t="s">
        <v>89</v>
      </c>
      <c r="B67" t="s">
        <v>47</v>
      </c>
      <c r="C67" t="s">
        <v>41</v>
      </c>
      <c r="D67" t="s">
        <v>123</v>
      </c>
      <c r="E67">
        <v>4103</v>
      </c>
      <c r="F67" t="str">
        <f>+CONCATENATE(Xero_Tax_Acc[[#This Row],[Line Item]]," - ",Xero_Tax_Acc[[#This Row],[Currency]]," - ",Xero_Tax_Acc[[#This Row],[Pipeline]])</f>
        <v>PT Bookkeeping - NZD - Sales Pipeline</v>
      </c>
      <c r="H67" t="str">
        <v>PT Bookkeeping - NZD - Sales Pipeline</v>
      </c>
    </row>
    <row r="68" spans="1:8" hidden="1">
      <c r="A68" t="s">
        <v>90</v>
      </c>
      <c r="B68" t="s">
        <v>47</v>
      </c>
      <c r="C68" t="s">
        <v>41</v>
      </c>
      <c r="D68" t="s">
        <v>123</v>
      </c>
      <c r="E68">
        <v>4202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  <c r="H68" t="str">
        <v>Dedicated 24x7x365 Digital Assistant - NZD - Sales Pipeline</v>
      </c>
    </row>
    <row r="69" spans="1:8" hidden="1">
      <c r="A69" t="s">
        <v>91</v>
      </c>
      <c r="B69" t="s">
        <v>47</v>
      </c>
      <c r="C69" t="s">
        <v>41</v>
      </c>
      <c r="D69" t="s">
        <v>123</v>
      </c>
      <c r="E69">
        <v>4300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  <c r="H69" t="str">
        <v>Data Analytics Managed Service - NZD - Sales Pipeline</v>
      </c>
    </row>
    <row r="70" spans="1:8" hidden="1">
      <c r="A70" t="s">
        <v>92</v>
      </c>
      <c r="B70" t="s">
        <v>47</v>
      </c>
      <c r="C70" t="s">
        <v>41</v>
      </c>
      <c r="D70" t="s">
        <v>123</v>
      </c>
      <c r="E70">
        <v>4302</v>
      </c>
      <c r="F70" t="str">
        <f>+CONCATENATE(Xero_Tax_Acc[[#This Row],[Line Item]]," - ",Xero_Tax_Acc[[#This Row],[Currency]]," - ",Xero_Tax_Acc[[#This Row],[Pipeline]])</f>
        <v>Data Analytics Implementation - NZD - Sales Pipeline</v>
      </c>
      <c r="H70" t="str">
        <v>Data Analytics Implementation - NZD - Sales Pipeline</v>
      </c>
    </row>
    <row r="71" spans="1:8" hidden="1">
      <c r="A71" t="s">
        <v>93</v>
      </c>
      <c r="B71" t="s">
        <v>47</v>
      </c>
      <c r="C71" t="s">
        <v>41</v>
      </c>
      <c r="D71" t="s">
        <v>123</v>
      </c>
      <c r="E71">
        <v>4102</v>
      </c>
      <c r="F71" t="str">
        <f>+CONCATENATE(Xero_Tax_Acc[[#This Row],[Line Item]]," - ",Xero_Tax_Acc[[#This Row],[Currency]]," - ",Xero_Tax_Acc[[#This Row],[Pipeline]])</f>
        <v>FT RPA Developer - NZD - Sales Pipeline</v>
      </c>
      <c r="H71" t="str">
        <v>FT RPA Developer - NZD - Sales Pipeline</v>
      </c>
    </row>
    <row r="72" spans="1:8" hidden="1">
      <c r="A72" t="s">
        <v>94</v>
      </c>
      <c r="B72" t="s">
        <v>47</v>
      </c>
      <c r="C72" t="s">
        <v>41</v>
      </c>
      <c r="D72" t="s">
        <v>123</v>
      </c>
      <c r="E72">
        <v>4201</v>
      </c>
      <c r="F72" t="str">
        <f>+CONCATENATE(Xero_Tax_Acc[[#This Row],[Line Item]]," - ",Xero_Tax_Acc[[#This Row],[Currency]]," - ",Xero_Tax_Acc[[#This Row],[Pipeline]])</f>
        <v>DA Implementation Team - NZD - Sales Pipeline</v>
      </c>
      <c r="H72" t="str">
        <v>DA Implementation Team - NZD - Sales Pipeline</v>
      </c>
    </row>
    <row r="73" spans="1:8" hidden="1">
      <c r="A73" t="s">
        <v>95</v>
      </c>
      <c r="B73" t="s">
        <v>47</v>
      </c>
      <c r="C73" t="s">
        <v>41</v>
      </c>
      <c r="D73" t="s">
        <v>123</v>
      </c>
      <c r="E73">
        <v>4202</v>
      </c>
      <c r="F73" t="str">
        <f>+CONCATENATE(Xero_Tax_Acc[[#This Row],[Line Item]]," - ",Xero_Tax_Acc[[#This Row],[Currency]]," - ",Xero_Tax_Acc[[#This Row],[Pipeline]])</f>
        <v>AI Data Extraction per page - NZD - Sales Pipeline</v>
      </c>
      <c r="H73" t="str">
        <v>AI Data Extraction per page - NZD - Sales Pipeline</v>
      </c>
    </row>
    <row r="74" spans="1:8" hidden="1">
      <c r="A74" t="s">
        <v>96</v>
      </c>
      <c r="B74" t="s">
        <v>47</v>
      </c>
      <c r="C74" t="s">
        <v>41</v>
      </c>
      <c r="D74" t="s">
        <v>123</v>
      </c>
      <c r="E74">
        <v>4202</v>
      </c>
      <c r="F74" t="str">
        <f>+CONCATENATE(Xero_Tax_Acc[[#This Row],[Line Item]]," - ",Xero_Tax_Acc[[#This Row],[Currency]]," - ",Xero_Tax_Acc[[#This Row],[Pipeline]])</f>
        <v>Fractional Digital Assistant - NZD - Sales Pipeline</v>
      </c>
      <c r="H74" t="str">
        <v>Fractional Digital Assistant - NZD - Sales Pipeline</v>
      </c>
    </row>
    <row r="75" spans="1:8" hidden="1">
      <c r="A75" t="s">
        <v>97</v>
      </c>
      <c r="B75" t="s">
        <v>47</v>
      </c>
      <c r="C75" t="s">
        <v>41</v>
      </c>
      <c r="D75" t="s">
        <v>123</v>
      </c>
      <c r="E75">
        <v>4203</v>
      </c>
      <c r="F75" t="str">
        <f>+CONCATENATE(Xero_Tax_Acc[[#This Row],[Line Item]]," - ",Xero_Tax_Acc[[#This Row],[Currency]]," - ",Xero_Tax_Acc[[#This Row],[Pipeline]])</f>
        <v>AI Workshop - NZD - Sales Pipeline</v>
      </c>
      <c r="H75" t="str">
        <v>AI Workshop - NZD - Sales Pipeline</v>
      </c>
    </row>
    <row r="76" spans="1:8">
      <c r="A76" t="s">
        <v>98</v>
      </c>
      <c r="B76" t="s">
        <v>47</v>
      </c>
      <c r="C76" t="s">
        <v>41</v>
      </c>
      <c r="D76" t="s">
        <v>123</v>
      </c>
      <c r="E76">
        <v>4102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  <c r="H76" t="str">
        <v>Background Verification Check Fee - NZD - Sales Pipeline</v>
      </c>
    </row>
    <row r="77" spans="1:8" hidden="1">
      <c r="A77" t="s">
        <v>99</v>
      </c>
      <c r="B77" t="s">
        <v>47</v>
      </c>
      <c r="C77" t="s">
        <v>41</v>
      </c>
      <c r="D77" t="s">
        <v>123</v>
      </c>
      <c r="E77">
        <v>4105</v>
      </c>
      <c r="F77" t="str">
        <f>+CONCATENATE(Xero_Tax_Acc[[#This Row],[Line Item]]," - ",Xero_Tax_Acc[[#This Row],[Currency]]," - ",Xero_Tax_Acc[[#This Row],[Pipeline]])</f>
        <v>Onboarding Setup - NZD - Sales Pipeline</v>
      </c>
      <c r="H77" t="str">
        <v>Onboarding Setup - NZD - Sales Pipeline</v>
      </c>
    </row>
    <row r="78" spans="1:8" hidden="1">
      <c r="A78" t="s">
        <v>100</v>
      </c>
      <c r="B78" t="s">
        <v>47</v>
      </c>
      <c r="C78" t="s">
        <v>41</v>
      </c>
      <c r="D78" t="s">
        <v>123</v>
      </c>
      <c r="E78">
        <v>4102</v>
      </c>
      <c r="F78" t="str">
        <f>+CONCATENATE(Xero_Tax_Acc[[#This Row],[Line Item]]," - ",Xero_Tax_Acc[[#This Row],[Currency]]," - ",Xero_Tax_Acc[[#This Row],[Pipeline]])</f>
        <v>T&amp;M Staff Augmentation - NZD - Sales Pipeline</v>
      </c>
      <c r="H78" t="str">
        <v>T&amp;M Staff Augmentation - NZD - Sales Pipeline</v>
      </c>
    </row>
    <row r="79" spans="1:8" hidden="1">
      <c r="A79" t="s">
        <v>101</v>
      </c>
      <c r="B79" t="s">
        <v>47</v>
      </c>
      <c r="C79" t="s">
        <v>41</v>
      </c>
      <c r="D79" t="s">
        <v>123</v>
      </c>
      <c r="E79">
        <v>4301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  <c r="H79" t="str">
        <v>Custom Data Analytics Consulting - T&amp;M - NZD - Sales Pipeline</v>
      </c>
    </row>
    <row r="80" spans="1:8" hidden="1">
      <c r="A80" t="s">
        <v>102</v>
      </c>
      <c r="B80" t="s">
        <v>47</v>
      </c>
      <c r="C80" t="s">
        <v>41</v>
      </c>
      <c r="D80" t="s">
        <v>123</v>
      </c>
      <c r="E80">
        <v>4300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  <c r="H80" t="str">
        <v>Data Analytics - Basic Maintenance - NZD - Sales Pipeline</v>
      </c>
    </row>
    <row r="81" spans="1:8" hidden="1">
      <c r="A81" t="s">
        <v>103</v>
      </c>
      <c r="B81" t="s">
        <v>47</v>
      </c>
      <c r="C81" t="s">
        <v>41</v>
      </c>
      <c r="D81" t="s">
        <v>123</v>
      </c>
      <c r="E81">
        <v>4300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  <c r="H81" t="str">
        <v>Data Analytics - Light Managed Service - NZD - Sales Pipeline</v>
      </c>
    </row>
    <row r="82" spans="1:8" hidden="1">
      <c r="A82" t="s">
        <v>104</v>
      </c>
      <c r="B82" t="s">
        <v>47</v>
      </c>
      <c r="C82" t="s">
        <v>41</v>
      </c>
      <c r="D82" t="s">
        <v>123</v>
      </c>
      <c r="E82">
        <v>4300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  <c r="H82" t="str">
        <v>Data Analytics - Managed Service - NZD - Sales Pipeline</v>
      </c>
    </row>
    <row r="83" spans="1:8" hidden="1">
      <c r="A83" t="s">
        <v>105</v>
      </c>
      <c r="B83" t="s">
        <v>47</v>
      </c>
      <c r="C83" t="s">
        <v>41</v>
      </c>
      <c r="D83" t="s">
        <v>123</v>
      </c>
      <c r="E83">
        <v>4302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  <c r="H83" t="str">
        <v>Data Analytics - Prototype Model - NZD - Sales Pipeline</v>
      </c>
    </row>
    <row r="84" spans="1:8">
      <c r="A84" t="s">
        <v>106</v>
      </c>
      <c r="B84" t="s">
        <v>47</v>
      </c>
      <c r="C84" t="s">
        <v>44</v>
      </c>
      <c r="D84" t="s">
        <v>123</v>
      </c>
      <c r="E84">
        <v>4400</v>
      </c>
      <c r="F84" t="str">
        <f>+CONCATENATE(Xero_Tax_Acc[[#This Row],[Line Item]]," - ",Xero_Tax_Acc[[#This Row],[Currency]]," - ",Xero_Tax_Acc[[#This Row],[Pipeline]])</f>
        <v>Reseller Monthly Fee - NZD - Reseller Pipeline</v>
      </c>
      <c r="H84" t="str">
        <v>Reseller Monthly Fee - NZD - Reseller Pipeline</v>
      </c>
    </row>
    <row r="85" spans="1:8">
      <c r="A85" t="s">
        <v>107</v>
      </c>
      <c r="B85" t="s">
        <v>47</v>
      </c>
      <c r="C85" t="s">
        <v>43</v>
      </c>
      <c r="D85" t="s">
        <v>124</v>
      </c>
      <c r="E85">
        <v>401</v>
      </c>
      <c r="F85" t="str">
        <f>+CONCATENATE(Xero_Tax_Acc[[#This Row],[Line Item]]," - ",Xero_Tax_Acc[[#This Row],[Currency]]," - ",Xero_Tax_Acc[[#This Row],[Pipeline]])</f>
        <v>Franchise Setup Fee  - NZD - Franchise Pipeline</v>
      </c>
      <c r="H85" t="str">
        <v>Franchise Setup Fee  - NZD - Franchise Pipeline</v>
      </c>
    </row>
    <row r="86" spans="1:8">
      <c r="A86" t="s">
        <v>108</v>
      </c>
      <c r="B86" t="s">
        <v>47</v>
      </c>
      <c r="C86" t="s">
        <v>43</v>
      </c>
      <c r="D86" t="s">
        <v>124</v>
      </c>
      <c r="E86">
        <v>402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  <c r="H86" t="str">
        <v>Monthly Lead Gen Tech Stack Fee - NZD - Franchise Pipeline</v>
      </c>
    </row>
    <row r="87" spans="1:8">
      <c r="A87" t="s">
        <v>109</v>
      </c>
      <c r="B87" t="s">
        <v>47</v>
      </c>
      <c r="C87" t="s">
        <v>43</v>
      </c>
      <c r="D87" t="s">
        <v>124</v>
      </c>
      <c r="E87">
        <v>403</v>
      </c>
      <c r="F87" t="str">
        <f>+CONCATENATE(Xero_Tax_Acc[[#This Row],[Line Item]]," - ",Xero_Tax_Acc[[#This Row],[Currency]]," - ",Xero_Tax_Acc[[#This Row],[Pipeline]])</f>
        <v>Monthly Advertisement Fee - NZD - Franchise Pipeline</v>
      </c>
      <c r="H87" t="str">
        <v>Monthly Advertisement Fee - NZD - Franchise Pipeline</v>
      </c>
    </row>
    <row r="88" spans="1:8">
      <c r="A88" t="s">
        <v>110</v>
      </c>
      <c r="B88" t="s">
        <v>47</v>
      </c>
      <c r="C88" t="s">
        <v>43</v>
      </c>
      <c r="D88" t="s">
        <v>124</v>
      </c>
      <c r="E88">
        <v>404</v>
      </c>
      <c r="F88" t="str">
        <f>+CONCATENATE(Xero_Tax_Acc[[#This Row],[Line Item]]," - ",Xero_Tax_Acc[[#This Row],[Currency]]," - ",Xero_Tax_Acc[[#This Row],[Pipeline]])</f>
        <v>Monthly Support Fee - NZD - Franchise Pipeline</v>
      </c>
      <c r="H88" t="str">
        <v>Monthly Support Fee - NZD - Franchise Pipeline</v>
      </c>
    </row>
    <row r="89" spans="1:8">
      <c r="A89" t="s">
        <v>111</v>
      </c>
      <c r="B89" t="s">
        <v>47</v>
      </c>
      <c r="C89" t="s">
        <v>43</v>
      </c>
      <c r="D89" t="s">
        <v>124</v>
      </c>
      <c r="E89">
        <v>405</v>
      </c>
      <c r="F89" t="str">
        <f>+CONCATENATE(Xero_Tax_Acc[[#This Row],[Line Item]]," - ",Xero_Tax_Acc[[#This Row],[Currency]]," - ",Xero_Tax_Acc[[#This Row],[Pipeline]])</f>
        <v>Annual Conference Fee - NZD - Franchise Pipeline</v>
      </c>
      <c r="H89" t="str">
        <v>Annual Conference Fee - NZD - Franchise Pipeline</v>
      </c>
    </row>
    <row r="90" spans="1:8">
      <c r="A90" t="s">
        <v>112</v>
      </c>
      <c r="B90" t="s">
        <v>47</v>
      </c>
      <c r="C90" t="s">
        <v>43</v>
      </c>
      <c r="D90" t="s">
        <v>124</v>
      </c>
      <c r="E90">
        <v>406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  <c r="H90" t="str">
        <v>Monthly Consultant Access Fee - NZD - Franchise Pipeline</v>
      </c>
    </row>
    <row r="91" spans="1:8" hidden="1">
      <c r="A91" t="s">
        <v>113</v>
      </c>
      <c r="B91" t="s">
        <v>47</v>
      </c>
      <c r="C91" t="s">
        <v>41</v>
      </c>
      <c r="D91" t="s">
        <v>123</v>
      </c>
      <c r="E91">
        <v>4202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  <c r="H91" t="str">
        <v>COMPLEX - Ai Powered Data Extraction - NZD - Sales Pipeline</v>
      </c>
    </row>
    <row r="92" spans="1:8" hidden="1">
      <c r="A92" t="s">
        <v>114</v>
      </c>
      <c r="B92" t="s">
        <v>47</v>
      </c>
      <c r="C92" t="s">
        <v>41</v>
      </c>
      <c r="D92" t="s">
        <v>123</v>
      </c>
      <c r="E92">
        <v>4202</v>
      </c>
      <c r="F92" t="str">
        <f>+CONCATENATE(Xero_Tax_Acc[[#This Row],[Line Item]]," - ",Xero_Tax_Acc[[#This Row],[Currency]]," - ",Xero_Tax_Acc[[#This Row],[Pipeline]])</f>
        <v>Ai Powered Data Extraction - NZD - Sales Pipeline</v>
      </c>
      <c r="H92" t="str">
        <v>Ai Powered Data Extraction - NZD - Sales Pipeline</v>
      </c>
    </row>
    <row r="93" spans="1:8" hidden="1">
      <c r="A93" t="s">
        <v>115</v>
      </c>
      <c r="B93" t="s">
        <v>47</v>
      </c>
      <c r="C93" t="s">
        <v>41</v>
      </c>
      <c r="D93" t="s">
        <v>123</v>
      </c>
      <c r="E93">
        <v>4202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  <c r="H93" t="str">
        <v>Digital Assistant - upto 250k Executions - NZD - Sales Pipeline</v>
      </c>
    </row>
    <row r="94" spans="1:8" hidden="1">
      <c r="A94" t="s">
        <v>116</v>
      </c>
      <c r="B94" t="s">
        <v>47</v>
      </c>
      <c r="C94" t="s">
        <v>41</v>
      </c>
      <c r="D94" t="s">
        <v>123</v>
      </c>
      <c r="E94">
        <v>4202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  <c r="H94" t="str">
        <v>Digital Assistant - upto 100k Executions - NZD - Sales Pipeline</v>
      </c>
    </row>
    <row r="95" spans="1:8" hidden="1">
      <c r="A95" t="s">
        <v>117</v>
      </c>
      <c r="B95" t="s">
        <v>47</v>
      </c>
      <c r="C95" t="s">
        <v>41</v>
      </c>
      <c r="D95" t="s">
        <v>123</v>
      </c>
      <c r="E95">
        <v>4202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  <c r="H95" t="str">
        <v>Digital Assistant - upto 50k Executions - NZD - Sales Pipeline</v>
      </c>
    </row>
    <row r="96" spans="1:8" hidden="1">
      <c r="A96" t="s">
        <v>118</v>
      </c>
      <c r="B96" t="s">
        <v>47</v>
      </c>
      <c r="C96" t="s">
        <v>41</v>
      </c>
      <c r="D96" t="s">
        <v>123</v>
      </c>
      <c r="E96">
        <v>4202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  <c r="H96" t="str">
        <v>Digital Assistant - upto 10k Executions - NZD - Sales Pipeline</v>
      </c>
    </row>
    <row r="97" spans="1:8" hidden="1">
      <c r="A97" t="s">
        <v>119</v>
      </c>
      <c r="B97" t="s">
        <v>47</v>
      </c>
      <c r="C97" t="s">
        <v>120</v>
      </c>
      <c r="D97" t="s">
        <v>123</v>
      </c>
      <c r="E97">
        <v>4401</v>
      </c>
      <c r="F97" t="str">
        <f>+CONCATENATE(Xero_Tax_Acc[[#This Row],[Line Item]]," - ",Xero_Tax_Acc[[#This Row],[Currency]]," - ",Xero_Tax_Acc[[#This Row],[Pipeline]])</f>
        <v>MSP Reseller - NZD - MSP Pipeline</v>
      </c>
      <c r="H97" t="str">
        <v>MSP Reseller - NZD - MSP Pipeline</v>
      </c>
    </row>
    <row r="98" spans="1:8" hidden="1">
      <c r="A98" t="s">
        <v>121</v>
      </c>
      <c r="B98" t="s">
        <v>47</v>
      </c>
      <c r="C98" t="s">
        <v>120</v>
      </c>
      <c r="D98" t="s">
        <v>123</v>
      </c>
      <c r="E98">
        <v>4401</v>
      </c>
      <c r="F98" t="str">
        <f>+CONCATENATE(Xero_Tax_Acc[[#This Row],[Line Item]]," - ",Xero_Tax_Acc[[#This Row],[Currency]]," - ",Xero_Tax_Acc[[#This Row],[Pipeline]])</f>
        <v>MSP Referral Partner - NZD - MSP Pipeline</v>
      </c>
      <c r="H98" t="str">
        <v>MSP Referral Partner - NZD - MSP Pipeline</v>
      </c>
    </row>
    <row r="99" spans="1:8" hidden="1">
      <c r="A99" t="s">
        <v>122</v>
      </c>
      <c r="B99" t="s">
        <v>47</v>
      </c>
      <c r="C99" t="s">
        <v>120</v>
      </c>
      <c r="D99" t="s">
        <v>123</v>
      </c>
      <c r="E99">
        <v>4401</v>
      </c>
      <c r="F99" t="str">
        <f>+CONCATENATE(Xero_Tax_Acc[[#This Row],[Line Item]]," - ",Xero_Tax_Acc[[#This Row],[Currency]]," - ",Xero_Tax_Acc[[#This Row],[Pipeline]])</f>
        <v>MSP Service Delivery Partner - NZD - MSP Pipeline</v>
      </c>
      <c r="H99" t="str">
        <v>MSP Service Delivery Partner - NZD - MSP Pipeline</v>
      </c>
    </row>
    <row r="100" spans="1:8" hidden="1">
      <c r="A100" t="s">
        <v>72</v>
      </c>
      <c r="B100" t="s">
        <v>51</v>
      </c>
      <c r="C100" t="s">
        <v>41</v>
      </c>
      <c r="D100" t="s">
        <v>125</v>
      </c>
      <c r="E100">
        <v>4102</v>
      </c>
      <c r="F100" t="str">
        <f>+CONCATENATE(Xero_Tax_Acc[[#This Row],[Line Item]]," - ",Xero_Tax_Acc[[#This Row],[Currency]]," - ",Xero_Tax_Acc[[#This Row],[Pipeline]])</f>
        <v>FT Accountant - GBP - Sales Pipeline</v>
      </c>
      <c r="H100" t="str">
        <v>FT Accountant - GBP - Sales Pipeline</v>
      </c>
    </row>
    <row r="101" spans="1:8" hidden="1">
      <c r="A101" t="s">
        <v>74</v>
      </c>
      <c r="B101" t="s">
        <v>51</v>
      </c>
      <c r="C101" t="s">
        <v>41</v>
      </c>
      <c r="D101" t="s">
        <v>125</v>
      </c>
      <c r="E101">
        <v>4102</v>
      </c>
      <c r="F101" t="str">
        <f>+CONCATENATE(Xero_Tax_Acc[[#This Row],[Line Item]]," - ",Xero_Tax_Acc[[#This Row],[Currency]]," - ",Xero_Tax_Acc[[#This Row],[Pipeline]])</f>
        <v>FT Zoho Developer - GBP - Sales Pipeline</v>
      </c>
      <c r="H101" t="str">
        <v>FT Zoho Developer - GBP - Sales Pipeline</v>
      </c>
    </row>
    <row r="102" spans="1:8" hidden="1">
      <c r="A102" t="s">
        <v>75</v>
      </c>
      <c r="B102" t="s">
        <v>51</v>
      </c>
      <c r="C102" t="s">
        <v>41</v>
      </c>
      <c r="D102" t="s">
        <v>125</v>
      </c>
      <c r="E102">
        <v>4103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  <c r="H102" t="str">
        <v>PT Wealth Management Paraplanner - GBP - Sales Pipeline</v>
      </c>
    </row>
    <row r="103" spans="1:8" hidden="1">
      <c r="A103" t="s">
        <v>76</v>
      </c>
      <c r="B103" t="s">
        <v>51</v>
      </c>
      <c r="C103" t="s">
        <v>41</v>
      </c>
      <c r="D103" t="s">
        <v>125</v>
      </c>
      <c r="E103">
        <v>4102</v>
      </c>
      <c r="F103" t="str">
        <f>+CONCATENATE(Xero_Tax_Acc[[#This Row],[Line Item]]," - ",Xero_Tax_Acc[[#This Row],[Currency]]," - ",Xero_Tax_Acc[[#This Row],[Pipeline]])</f>
        <v>FT Salesforce Developer - GBP - Sales Pipeline</v>
      </c>
      <c r="H103" t="str">
        <v>FT Salesforce Developer - GBP - Sales Pipeline</v>
      </c>
    </row>
    <row r="104" spans="1:8" hidden="1">
      <c r="A104" t="s">
        <v>77</v>
      </c>
      <c r="B104" t="s">
        <v>51</v>
      </c>
      <c r="C104" t="s">
        <v>41</v>
      </c>
      <c r="D104" t="s">
        <v>125</v>
      </c>
      <c r="E104">
        <v>4102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  <c r="H104" t="str">
        <v>FT Wealth Management Paraplanner - GBP - Sales Pipeline</v>
      </c>
    </row>
    <row r="105" spans="1:8" hidden="1">
      <c r="A105" t="s">
        <v>78</v>
      </c>
      <c r="B105" t="s">
        <v>51</v>
      </c>
      <c r="C105" t="s">
        <v>41</v>
      </c>
      <c r="D105" t="s">
        <v>125</v>
      </c>
      <c r="E105">
        <v>4102</v>
      </c>
      <c r="F105" t="str">
        <f>+CONCATENATE(Xero_Tax_Acc[[#This Row],[Line Item]]," - ",Xero_Tax_Acc[[#This Row],[Currency]]," - ",Xero_Tax_Acc[[#This Row],[Pipeline]])</f>
        <v>Full Stack Developer - GBP - Sales Pipeline</v>
      </c>
      <c r="H105" t="str">
        <v>Full Stack Developer - GBP - Sales Pipeline</v>
      </c>
    </row>
    <row r="106" spans="1:8" hidden="1">
      <c r="A106" t="s">
        <v>79</v>
      </c>
      <c r="B106" t="s">
        <v>51</v>
      </c>
      <c r="C106" t="s">
        <v>41</v>
      </c>
      <c r="D106" t="s">
        <v>125</v>
      </c>
      <c r="E106">
        <v>4105</v>
      </c>
      <c r="F106" t="str">
        <f>+CONCATENATE(Xero_Tax_Acc[[#This Row],[Line Item]]," - ",Xero_Tax_Acc[[#This Row],[Currency]]," - ",Xero_Tax_Acc[[#This Row],[Pipeline]])</f>
        <v>Custom Service - GBP - Sales Pipeline</v>
      </c>
      <c r="H106" t="str">
        <v>Custom Service - GBP - Sales Pipeline</v>
      </c>
    </row>
    <row r="107" spans="1:8" hidden="1">
      <c r="A107" t="s">
        <v>80</v>
      </c>
      <c r="B107" t="s">
        <v>51</v>
      </c>
      <c r="C107" t="s">
        <v>41</v>
      </c>
      <c r="D107" t="s">
        <v>125</v>
      </c>
      <c r="E107">
        <v>4103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  <c r="H107" t="str">
        <v>PT Wealth Management Virtual Assistant - GBP - Sales Pipeline</v>
      </c>
    </row>
    <row r="108" spans="1:8" hidden="1">
      <c r="A108" t="s">
        <v>81</v>
      </c>
      <c r="B108" t="s">
        <v>51</v>
      </c>
      <c r="C108" t="s">
        <v>41</v>
      </c>
      <c r="D108" t="s">
        <v>125</v>
      </c>
      <c r="E108">
        <v>4102</v>
      </c>
      <c r="F108" t="str">
        <f>+CONCATENATE(Xero_Tax_Acc[[#This Row],[Line Item]]," - ",Xero_Tax_Acc[[#This Row],[Currency]]," - ",Xero_Tax_Acc[[#This Row],[Pipeline]])</f>
        <v>FT Bookkeeping - GBP - Sales Pipeline</v>
      </c>
      <c r="H108" t="str">
        <v>FT Bookkeeping - GBP - Sales Pipeline</v>
      </c>
    </row>
    <row r="109" spans="1:8" hidden="1">
      <c r="A109" t="s">
        <v>82</v>
      </c>
      <c r="B109" t="s">
        <v>51</v>
      </c>
      <c r="C109" t="s">
        <v>41</v>
      </c>
      <c r="D109" t="s">
        <v>125</v>
      </c>
      <c r="E109">
        <v>4102</v>
      </c>
      <c r="F109" t="str">
        <f>+CONCATENATE(Xero_Tax_Acc[[#This Row],[Line Item]]," - ",Xero_Tax_Acc[[#This Row],[Currency]]," - ",Xero_Tax_Acc[[#This Row],[Pipeline]])</f>
        <v>Oracle HCM Cloud Developer - GBP - Sales Pipeline</v>
      </c>
      <c r="H109" t="str">
        <v>Oracle HCM Cloud Developer - GBP - Sales Pipeline</v>
      </c>
    </row>
    <row r="110" spans="1:8" hidden="1">
      <c r="A110" t="s">
        <v>83</v>
      </c>
      <c r="B110" t="s">
        <v>51</v>
      </c>
      <c r="C110" t="s">
        <v>41</v>
      </c>
      <c r="D110" t="s">
        <v>125</v>
      </c>
      <c r="E110">
        <v>4103</v>
      </c>
      <c r="F110" t="str">
        <f>+CONCATENATE(Xero_Tax_Acc[[#This Row],[Line Item]]," - ",Xero_Tax_Acc[[#This Row],[Currency]]," - ",Xero_Tax_Acc[[#This Row],[Pipeline]])</f>
        <v>PT Zoho Developer - GBP - Sales Pipeline</v>
      </c>
      <c r="H110" t="str">
        <v>PT Zoho Developer - GBP - Sales Pipeline</v>
      </c>
    </row>
    <row r="111" spans="1:8" hidden="1">
      <c r="A111" t="s">
        <v>84</v>
      </c>
      <c r="B111" t="s">
        <v>51</v>
      </c>
      <c r="C111" t="s">
        <v>41</v>
      </c>
      <c r="D111" t="s">
        <v>125</v>
      </c>
      <c r="E111">
        <v>4105</v>
      </c>
      <c r="F111" t="str">
        <f>+CONCATENATE(Xero_Tax_Acc[[#This Row],[Line Item]]," - ",Xero_Tax_Acc[[#This Row],[Currency]]," - ",Xero_Tax_Acc[[#This Row],[Pipeline]])</f>
        <v>Full Time Custom Staff Aug - GBP - Sales Pipeline</v>
      </c>
      <c r="H111" t="str">
        <v>Full Time Custom Staff Aug - GBP - Sales Pipeline</v>
      </c>
    </row>
    <row r="112" spans="1:8" hidden="1">
      <c r="A112" t="s">
        <v>85</v>
      </c>
      <c r="B112" t="s">
        <v>51</v>
      </c>
      <c r="C112" t="s">
        <v>41</v>
      </c>
      <c r="D112" t="s">
        <v>125</v>
      </c>
      <c r="E112">
        <v>4102</v>
      </c>
      <c r="F112" t="str">
        <f>+CONCATENATE(Xero_Tax_Acc[[#This Row],[Line Item]]," - ",Xero_Tax_Acc[[#This Row],[Currency]]," - ",Xero_Tax_Acc[[#This Row],[Pipeline]])</f>
        <v>Full Time Medical Staff - GBP - Sales Pipeline</v>
      </c>
      <c r="H112" t="str">
        <v>Full Time Medical Staff - GBP - Sales Pipeline</v>
      </c>
    </row>
    <row r="113" spans="1:8" hidden="1">
      <c r="A113" t="s">
        <v>86</v>
      </c>
      <c r="B113" t="s">
        <v>51</v>
      </c>
      <c r="C113" t="s">
        <v>41</v>
      </c>
      <c r="D113" t="s">
        <v>125</v>
      </c>
      <c r="E113">
        <v>4105</v>
      </c>
      <c r="F113" t="str">
        <f>+CONCATENATE(Xero_Tax_Acc[[#This Row],[Line Item]]," - ",Xero_Tax_Acc[[#This Row],[Currency]]," - ",Xero_Tax_Acc[[#This Row],[Pipeline]])</f>
        <v>Part Time Custom Staff Aug - GBP - Sales Pipeline</v>
      </c>
      <c r="H113" t="str">
        <v>Part Time Custom Staff Aug - GBP - Sales Pipeline</v>
      </c>
    </row>
    <row r="114" spans="1:8" hidden="1">
      <c r="A114" t="s">
        <v>87</v>
      </c>
      <c r="B114" t="s">
        <v>51</v>
      </c>
      <c r="C114" t="s">
        <v>41</v>
      </c>
      <c r="D114" t="s">
        <v>125</v>
      </c>
      <c r="E114">
        <v>4103</v>
      </c>
      <c r="F114" t="str">
        <f>+CONCATENATE(Xero_Tax_Acc[[#This Row],[Line Item]]," - ",Xero_Tax_Acc[[#This Row],[Currency]]," - ",Xero_Tax_Acc[[#This Row],[Pipeline]])</f>
        <v>PT Accountant - GBP - Sales Pipeline</v>
      </c>
      <c r="H114" t="str">
        <v>PT Accountant - GBP - Sales Pipeline</v>
      </c>
    </row>
    <row r="115" spans="1:8" hidden="1">
      <c r="A115" t="s">
        <v>88</v>
      </c>
      <c r="B115" t="s">
        <v>51</v>
      </c>
      <c r="C115" t="s">
        <v>41</v>
      </c>
      <c r="D115" t="s">
        <v>125</v>
      </c>
      <c r="E115">
        <v>4102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  <c r="H115" t="str">
        <v>FT Wealth Management Virtual Assistant - GBP - Sales Pipeline</v>
      </c>
    </row>
    <row r="116" spans="1:8" hidden="1">
      <c r="A116" t="s">
        <v>89</v>
      </c>
      <c r="B116" t="s">
        <v>51</v>
      </c>
      <c r="C116" t="s">
        <v>41</v>
      </c>
      <c r="D116" t="s">
        <v>125</v>
      </c>
      <c r="E116">
        <v>4103</v>
      </c>
      <c r="F116" t="str">
        <f>+CONCATENATE(Xero_Tax_Acc[[#This Row],[Line Item]]," - ",Xero_Tax_Acc[[#This Row],[Currency]]," - ",Xero_Tax_Acc[[#This Row],[Pipeline]])</f>
        <v>PT Bookkeeping - GBP - Sales Pipeline</v>
      </c>
      <c r="H116" t="str">
        <v>PT Bookkeeping - GBP - Sales Pipeline</v>
      </c>
    </row>
    <row r="117" spans="1:8" hidden="1">
      <c r="A117" t="s">
        <v>90</v>
      </c>
      <c r="B117" t="s">
        <v>51</v>
      </c>
      <c r="C117" t="s">
        <v>41</v>
      </c>
      <c r="D117" t="s">
        <v>125</v>
      </c>
      <c r="E117">
        <v>4202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  <c r="H117" t="str">
        <v>Dedicated 24x7x365 Digital Assistant - GBP - Sales Pipeline</v>
      </c>
    </row>
    <row r="118" spans="1:8" hidden="1">
      <c r="A118" t="s">
        <v>91</v>
      </c>
      <c r="B118" t="s">
        <v>51</v>
      </c>
      <c r="C118" t="s">
        <v>41</v>
      </c>
      <c r="D118" t="s">
        <v>125</v>
      </c>
      <c r="E118">
        <v>4300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  <c r="H118" t="str">
        <v>Data Analytics Managed Service - GBP - Sales Pipeline</v>
      </c>
    </row>
    <row r="119" spans="1:8" hidden="1">
      <c r="A119" t="s">
        <v>92</v>
      </c>
      <c r="B119" t="s">
        <v>51</v>
      </c>
      <c r="C119" t="s">
        <v>41</v>
      </c>
      <c r="D119" t="s">
        <v>125</v>
      </c>
      <c r="E119">
        <v>4302</v>
      </c>
      <c r="F119" t="str">
        <f>+CONCATENATE(Xero_Tax_Acc[[#This Row],[Line Item]]," - ",Xero_Tax_Acc[[#This Row],[Currency]]," - ",Xero_Tax_Acc[[#This Row],[Pipeline]])</f>
        <v>Data Analytics Implementation - GBP - Sales Pipeline</v>
      </c>
      <c r="H119" t="str">
        <v>Data Analytics Implementation - GBP - Sales Pipeline</v>
      </c>
    </row>
    <row r="120" spans="1:8" hidden="1">
      <c r="A120" t="s">
        <v>93</v>
      </c>
      <c r="B120" t="s">
        <v>51</v>
      </c>
      <c r="C120" t="s">
        <v>41</v>
      </c>
      <c r="D120" t="s">
        <v>125</v>
      </c>
      <c r="E120">
        <v>4102</v>
      </c>
      <c r="F120" t="str">
        <f>+CONCATENATE(Xero_Tax_Acc[[#This Row],[Line Item]]," - ",Xero_Tax_Acc[[#This Row],[Currency]]," - ",Xero_Tax_Acc[[#This Row],[Pipeline]])</f>
        <v>FT RPA Developer - GBP - Sales Pipeline</v>
      </c>
      <c r="H120" t="str">
        <v>FT RPA Developer - GBP - Sales Pipeline</v>
      </c>
    </row>
    <row r="121" spans="1:8" hidden="1">
      <c r="A121" t="s">
        <v>94</v>
      </c>
      <c r="B121" t="s">
        <v>51</v>
      </c>
      <c r="C121" t="s">
        <v>41</v>
      </c>
      <c r="D121" t="s">
        <v>125</v>
      </c>
      <c r="E121">
        <v>4201</v>
      </c>
      <c r="F121" t="str">
        <f>+CONCATENATE(Xero_Tax_Acc[[#This Row],[Line Item]]," - ",Xero_Tax_Acc[[#This Row],[Currency]]," - ",Xero_Tax_Acc[[#This Row],[Pipeline]])</f>
        <v>DA Implementation Team - GBP - Sales Pipeline</v>
      </c>
      <c r="H121" t="str">
        <v>DA Implementation Team - GBP - Sales Pipeline</v>
      </c>
    </row>
    <row r="122" spans="1:8" hidden="1">
      <c r="A122" t="s">
        <v>95</v>
      </c>
      <c r="B122" t="s">
        <v>51</v>
      </c>
      <c r="C122" t="s">
        <v>41</v>
      </c>
      <c r="D122" t="s">
        <v>125</v>
      </c>
      <c r="E122">
        <v>4202</v>
      </c>
      <c r="F122" t="str">
        <f>+CONCATENATE(Xero_Tax_Acc[[#This Row],[Line Item]]," - ",Xero_Tax_Acc[[#This Row],[Currency]]," - ",Xero_Tax_Acc[[#This Row],[Pipeline]])</f>
        <v>AI Data Extraction per page - GBP - Sales Pipeline</v>
      </c>
      <c r="H122" t="str">
        <v>AI Data Extraction per page - GBP - Sales Pipeline</v>
      </c>
    </row>
    <row r="123" spans="1:8" hidden="1">
      <c r="A123" t="s">
        <v>96</v>
      </c>
      <c r="B123" t="s">
        <v>51</v>
      </c>
      <c r="C123" t="s">
        <v>41</v>
      </c>
      <c r="D123" t="s">
        <v>125</v>
      </c>
      <c r="E123">
        <v>4202</v>
      </c>
      <c r="F123" t="str">
        <f>+CONCATENATE(Xero_Tax_Acc[[#This Row],[Line Item]]," - ",Xero_Tax_Acc[[#This Row],[Currency]]," - ",Xero_Tax_Acc[[#This Row],[Pipeline]])</f>
        <v>Fractional Digital Assistant - GBP - Sales Pipeline</v>
      </c>
      <c r="H123" t="str">
        <v>Fractional Digital Assistant - GBP - Sales Pipeline</v>
      </c>
    </row>
    <row r="124" spans="1:8" hidden="1">
      <c r="A124" t="s">
        <v>97</v>
      </c>
      <c r="B124" t="s">
        <v>51</v>
      </c>
      <c r="C124" t="s">
        <v>41</v>
      </c>
      <c r="D124" t="s">
        <v>125</v>
      </c>
      <c r="E124">
        <v>4203</v>
      </c>
      <c r="F124" t="str">
        <f>+CONCATENATE(Xero_Tax_Acc[[#This Row],[Line Item]]," - ",Xero_Tax_Acc[[#This Row],[Currency]]," - ",Xero_Tax_Acc[[#This Row],[Pipeline]])</f>
        <v>AI Workshop - GBP - Sales Pipeline</v>
      </c>
      <c r="H124" t="str">
        <v>AI Workshop - GBP - Sales Pipeline</v>
      </c>
    </row>
    <row r="125" spans="1:8">
      <c r="A125" t="s">
        <v>98</v>
      </c>
      <c r="B125" t="s">
        <v>51</v>
      </c>
      <c r="C125" t="s">
        <v>41</v>
      </c>
      <c r="D125" t="s">
        <v>125</v>
      </c>
      <c r="E125">
        <v>4102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  <c r="H125" t="str">
        <v>Background Verification Check Fee - GBP - Sales Pipeline</v>
      </c>
    </row>
    <row r="126" spans="1:8" hidden="1">
      <c r="A126" t="s">
        <v>99</v>
      </c>
      <c r="B126" t="s">
        <v>51</v>
      </c>
      <c r="C126" t="s">
        <v>41</v>
      </c>
      <c r="D126" t="s">
        <v>125</v>
      </c>
      <c r="E126">
        <v>4105</v>
      </c>
      <c r="F126" t="str">
        <f>+CONCATENATE(Xero_Tax_Acc[[#This Row],[Line Item]]," - ",Xero_Tax_Acc[[#This Row],[Currency]]," - ",Xero_Tax_Acc[[#This Row],[Pipeline]])</f>
        <v>Onboarding Setup - GBP - Sales Pipeline</v>
      </c>
      <c r="H126" t="str">
        <v>Onboarding Setup - GBP - Sales Pipeline</v>
      </c>
    </row>
    <row r="127" spans="1:8" hidden="1">
      <c r="A127" t="s">
        <v>100</v>
      </c>
      <c r="B127" t="s">
        <v>51</v>
      </c>
      <c r="C127" t="s">
        <v>41</v>
      </c>
      <c r="D127" t="s">
        <v>125</v>
      </c>
      <c r="E127">
        <v>4102</v>
      </c>
      <c r="F127" t="str">
        <f>+CONCATENATE(Xero_Tax_Acc[[#This Row],[Line Item]]," - ",Xero_Tax_Acc[[#This Row],[Currency]]," - ",Xero_Tax_Acc[[#This Row],[Pipeline]])</f>
        <v>T&amp;M Staff Augmentation - GBP - Sales Pipeline</v>
      </c>
      <c r="H127" t="str">
        <v>T&amp;M Staff Augmentation - GBP - Sales Pipeline</v>
      </c>
    </row>
    <row r="128" spans="1:8" hidden="1">
      <c r="A128" t="s">
        <v>101</v>
      </c>
      <c r="B128" t="s">
        <v>51</v>
      </c>
      <c r="C128" t="s">
        <v>41</v>
      </c>
      <c r="D128" t="s">
        <v>125</v>
      </c>
      <c r="E128">
        <v>4301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  <c r="H128" t="str">
        <v>Custom Data Analytics Consulting - T&amp;M - GBP - Sales Pipeline</v>
      </c>
    </row>
    <row r="129" spans="1:8" hidden="1">
      <c r="A129" t="s">
        <v>102</v>
      </c>
      <c r="B129" t="s">
        <v>51</v>
      </c>
      <c r="C129" t="s">
        <v>41</v>
      </c>
      <c r="D129" t="s">
        <v>125</v>
      </c>
      <c r="E129">
        <v>4300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  <c r="H129" t="str">
        <v>Data Analytics - Basic Maintenance - GBP - Sales Pipeline</v>
      </c>
    </row>
    <row r="130" spans="1:8" hidden="1">
      <c r="A130" t="s">
        <v>103</v>
      </c>
      <c r="B130" t="s">
        <v>51</v>
      </c>
      <c r="C130" t="s">
        <v>41</v>
      </c>
      <c r="D130" t="s">
        <v>125</v>
      </c>
      <c r="E130">
        <v>4300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  <c r="H130" t="str">
        <v>Data Analytics - Light Managed Service - GBP - Sales Pipeline</v>
      </c>
    </row>
    <row r="131" spans="1:8" hidden="1">
      <c r="A131" t="s">
        <v>104</v>
      </c>
      <c r="B131" t="s">
        <v>51</v>
      </c>
      <c r="C131" t="s">
        <v>41</v>
      </c>
      <c r="D131" t="s">
        <v>125</v>
      </c>
      <c r="E131">
        <v>4300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  <c r="H131" t="str">
        <v>Data Analytics - Managed Service - GBP - Sales Pipeline</v>
      </c>
    </row>
    <row r="132" spans="1:8" hidden="1">
      <c r="A132" t="s">
        <v>105</v>
      </c>
      <c r="B132" t="s">
        <v>51</v>
      </c>
      <c r="C132" t="s">
        <v>41</v>
      </c>
      <c r="D132" t="s">
        <v>125</v>
      </c>
      <c r="E132">
        <v>4302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  <c r="H132" t="str">
        <v>Data Analytics - Prototype Model - GBP - Sales Pipeline</v>
      </c>
    </row>
    <row r="133" spans="1:8">
      <c r="A133" t="s">
        <v>106</v>
      </c>
      <c r="B133" t="s">
        <v>51</v>
      </c>
      <c r="C133" t="s">
        <v>44</v>
      </c>
      <c r="D133" t="s">
        <v>125</v>
      </c>
      <c r="E133">
        <v>4400</v>
      </c>
      <c r="F133" t="str">
        <f>+CONCATENATE(Xero_Tax_Acc[[#This Row],[Line Item]]," - ",Xero_Tax_Acc[[#This Row],[Currency]]," - ",Xero_Tax_Acc[[#This Row],[Pipeline]])</f>
        <v>Reseller Monthly Fee - GBP - Reseller Pipeline</v>
      </c>
      <c r="H133" t="str">
        <v>Reseller Monthly Fee - GBP - Reseller Pipeline</v>
      </c>
    </row>
    <row r="134" spans="1:8">
      <c r="A134" t="s">
        <v>107</v>
      </c>
      <c r="B134" t="s">
        <v>51</v>
      </c>
      <c r="C134" t="s">
        <v>43</v>
      </c>
      <c r="D134" t="s">
        <v>125</v>
      </c>
      <c r="E134">
        <v>401</v>
      </c>
      <c r="F134" t="str">
        <f>+CONCATENATE(Xero_Tax_Acc[[#This Row],[Line Item]]," - ",Xero_Tax_Acc[[#This Row],[Currency]]," - ",Xero_Tax_Acc[[#This Row],[Pipeline]])</f>
        <v>Franchise Setup Fee  - GBP - Franchise Pipeline</v>
      </c>
      <c r="H134" t="str">
        <v>Franchise Setup Fee  - GBP - Franchise Pipeline</v>
      </c>
    </row>
    <row r="135" spans="1:8">
      <c r="A135" t="s">
        <v>108</v>
      </c>
      <c r="B135" t="s">
        <v>51</v>
      </c>
      <c r="C135" t="s">
        <v>43</v>
      </c>
      <c r="D135" t="s">
        <v>125</v>
      </c>
      <c r="E135">
        <v>402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  <c r="H135" t="str">
        <v>Monthly Lead Gen Tech Stack Fee - GBP - Franchise Pipeline</v>
      </c>
    </row>
    <row r="136" spans="1:8">
      <c r="A136" t="s">
        <v>109</v>
      </c>
      <c r="B136" t="s">
        <v>51</v>
      </c>
      <c r="C136" t="s">
        <v>43</v>
      </c>
      <c r="D136" t="s">
        <v>125</v>
      </c>
      <c r="E136">
        <v>403</v>
      </c>
      <c r="F136" t="str">
        <f>+CONCATENATE(Xero_Tax_Acc[[#This Row],[Line Item]]," - ",Xero_Tax_Acc[[#This Row],[Currency]]," - ",Xero_Tax_Acc[[#This Row],[Pipeline]])</f>
        <v>Monthly Advertisement Fee - GBP - Franchise Pipeline</v>
      </c>
      <c r="H136" t="str">
        <v>Monthly Advertisement Fee - GBP - Franchise Pipeline</v>
      </c>
    </row>
    <row r="137" spans="1:8">
      <c r="A137" t="s">
        <v>110</v>
      </c>
      <c r="B137" t="s">
        <v>51</v>
      </c>
      <c r="C137" t="s">
        <v>43</v>
      </c>
      <c r="D137" t="s">
        <v>125</v>
      </c>
      <c r="E137">
        <v>404</v>
      </c>
      <c r="F137" t="str">
        <f>+CONCATENATE(Xero_Tax_Acc[[#This Row],[Line Item]]," - ",Xero_Tax_Acc[[#This Row],[Currency]]," - ",Xero_Tax_Acc[[#This Row],[Pipeline]])</f>
        <v>Monthly Support Fee - GBP - Franchise Pipeline</v>
      </c>
      <c r="H137" t="str">
        <v>Monthly Support Fee - GBP - Franchise Pipeline</v>
      </c>
    </row>
    <row r="138" spans="1:8">
      <c r="A138" t="s">
        <v>111</v>
      </c>
      <c r="B138" t="s">
        <v>51</v>
      </c>
      <c r="C138" t="s">
        <v>43</v>
      </c>
      <c r="D138" t="s">
        <v>125</v>
      </c>
      <c r="E138">
        <v>405</v>
      </c>
      <c r="F138" t="str">
        <f>+CONCATENATE(Xero_Tax_Acc[[#This Row],[Line Item]]," - ",Xero_Tax_Acc[[#This Row],[Currency]]," - ",Xero_Tax_Acc[[#This Row],[Pipeline]])</f>
        <v>Annual Conference Fee - GBP - Franchise Pipeline</v>
      </c>
      <c r="H138" t="str">
        <v>Annual Conference Fee - GBP - Franchise Pipeline</v>
      </c>
    </row>
    <row r="139" spans="1:8">
      <c r="A139" t="s">
        <v>112</v>
      </c>
      <c r="B139" t="s">
        <v>51</v>
      </c>
      <c r="C139" t="s">
        <v>43</v>
      </c>
      <c r="D139" t="s">
        <v>125</v>
      </c>
      <c r="E139">
        <v>406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  <c r="H139" t="str">
        <v>Monthly Consultant Access Fee - GBP - Franchise Pipeline</v>
      </c>
    </row>
    <row r="140" spans="1:8" hidden="1">
      <c r="A140" t="s">
        <v>113</v>
      </c>
      <c r="B140" t="s">
        <v>51</v>
      </c>
      <c r="C140" t="s">
        <v>41</v>
      </c>
      <c r="D140" t="s">
        <v>125</v>
      </c>
      <c r="E140">
        <v>4202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  <c r="H140" t="str">
        <v>COMPLEX - Ai Powered Data Extraction - GBP - Sales Pipeline</v>
      </c>
    </row>
    <row r="141" spans="1:8" hidden="1">
      <c r="A141" t="s">
        <v>114</v>
      </c>
      <c r="B141" t="s">
        <v>51</v>
      </c>
      <c r="C141" t="s">
        <v>41</v>
      </c>
      <c r="D141" t="s">
        <v>125</v>
      </c>
      <c r="E141">
        <v>4202</v>
      </c>
      <c r="F141" t="str">
        <f>+CONCATENATE(Xero_Tax_Acc[[#This Row],[Line Item]]," - ",Xero_Tax_Acc[[#This Row],[Currency]]," - ",Xero_Tax_Acc[[#This Row],[Pipeline]])</f>
        <v>Ai Powered Data Extraction - GBP - Sales Pipeline</v>
      </c>
      <c r="H141" t="str">
        <v>Ai Powered Data Extraction - GBP - Sales Pipeline</v>
      </c>
    </row>
    <row r="142" spans="1:8" hidden="1">
      <c r="A142" t="s">
        <v>115</v>
      </c>
      <c r="B142" t="s">
        <v>51</v>
      </c>
      <c r="C142" t="s">
        <v>41</v>
      </c>
      <c r="D142" t="s">
        <v>125</v>
      </c>
      <c r="E142">
        <v>4202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  <c r="H142" t="str">
        <v>Digital Assistant - upto 250k Executions - GBP - Sales Pipeline</v>
      </c>
    </row>
    <row r="143" spans="1:8" hidden="1">
      <c r="A143" t="s">
        <v>116</v>
      </c>
      <c r="B143" t="s">
        <v>51</v>
      </c>
      <c r="C143" t="s">
        <v>41</v>
      </c>
      <c r="D143" t="s">
        <v>125</v>
      </c>
      <c r="E143">
        <v>4202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  <c r="H143" t="str">
        <v>Digital Assistant - upto 100k Executions - GBP - Sales Pipeline</v>
      </c>
    </row>
    <row r="144" spans="1:8" hidden="1">
      <c r="A144" t="s">
        <v>117</v>
      </c>
      <c r="B144" t="s">
        <v>51</v>
      </c>
      <c r="C144" t="s">
        <v>41</v>
      </c>
      <c r="D144" t="s">
        <v>125</v>
      </c>
      <c r="E144">
        <v>4202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  <c r="H144" t="str">
        <v>Digital Assistant - upto 50k Executions - GBP - Sales Pipeline</v>
      </c>
    </row>
    <row r="145" spans="1:8" hidden="1">
      <c r="A145" t="s">
        <v>118</v>
      </c>
      <c r="B145" t="s">
        <v>51</v>
      </c>
      <c r="C145" t="s">
        <v>41</v>
      </c>
      <c r="D145" t="s">
        <v>125</v>
      </c>
      <c r="E145">
        <v>4202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  <c r="H145" t="str">
        <v>Digital Assistant - upto 10k Executions - GBP - Sales Pipeline</v>
      </c>
    </row>
    <row r="146" spans="1:8" hidden="1">
      <c r="A146" t="s">
        <v>119</v>
      </c>
      <c r="B146" t="s">
        <v>51</v>
      </c>
      <c r="C146" t="s">
        <v>120</v>
      </c>
      <c r="D146" t="s">
        <v>125</v>
      </c>
      <c r="E146">
        <v>4401</v>
      </c>
      <c r="F146" t="str">
        <f>+CONCATENATE(Xero_Tax_Acc[[#This Row],[Line Item]]," - ",Xero_Tax_Acc[[#This Row],[Currency]]," - ",Xero_Tax_Acc[[#This Row],[Pipeline]])</f>
        <v>MSP Reseller - GBP - MSP Pipeline</v>
      </c>
      <c r="H146" t="str">
        <v>MSP Reseller - GBP - MSP Pipeline</v>
      </c>
    </row>
    <row r="147" spans="1:8" hidden="1">
      <c r="A147" t="s">
        <v>121</v>
      </c>
      <c r="B147" t="s">
        <v>51</v>
      </c>
      <c r="C147" t="s">
        <v>120</v>
      </c>
      <c r="D147" t="s">
        <v>125</v>
      </c>
      <c r="E147">
        <v>4401</v>
      </c>
      <c r="F147" t="str">
        <f>+CONCATENATE(Xero_Tax_Acc[[#This Row],[Line Item]]," - ",Xero_Tax_Acc[[#This Row],[Currency]]," - ",Xero_Tax_Acc[[#This Row],[Pipeline]])</f>
        <v>MSP Referral Partner - GBP - MSP Pipeline</v>
      </c>
      <c r="H147" t="str">
        <v>MSP Referral Partner - GBP - MSP Pipeline</v>
      </c>
    </row>
    <row r="148" spans="1:8" hidden="1">
      <c r="A148" t="s">
        <v>122</v>
      </c>
      <c r="B148" t="s">
        <v>51</v>
      </c>
      <c r="C148" t="s">
        <v>120</v>
      </c>
      <c r="D148" t="s">
        <v>125</v>
      </c>
      <c r="E148">
        <v>4401</v>
      </c>
      <c r="F148" t="str">
        <f>+CONCATENATE(Xero_Tax_Acc[[#This Row],[Line Item]]," - ",Xero_Tax_Acc[[#This Row],[Currency]]," - ",Xero_Tax_Acc[[#This Row],[Pipeline]])</f>
        <v>MSP Service Delivery Partner - GBP - MSP Pipeline</v>
      </c>
      <c r="H148" t="str">
        <v>MSP Service Delivery Partner - GBP - MSP Pipeline</v>
      </c>
    </row>
    <row r="149" spans="1:8" hidden="1">
      <c r="A149" t="s">
        <v>126</v>
      </c>
      <c r="B149" t="s">
        <v>40</v>
      </c>
      <c r="C149" t="s">
        <v>43</v>
      </c>
      <c r="D149" t="s">
        <v>73</v>
      </c>
      <c r="E149">
        <v>406</v>
      </c>
      <c r="F149" t="str">
        <f>+CONCATENATE(Xero_Tax_Acc[[#This Row],[Line Item]]," - ",Xero_Tax_Acc[[#This Row],[Currency]]," - ",Xero_Tax_Acc[[#This Row],[Pipeline]])</f>
        <v>Consultant - Dripify License - AUD - Franchise Pipeline</v>
      </c>
      <c r="H149" t="str">
        <v>Consultant - Dripify License - AUD - Franchise Pipeline</v>
      </c>
    </row>
    <row r="150" spans="1:8" hidden="1">
      <c r="A150" t="s">
        <v>127</v>
      </c>
      <c r="B150" t="s">
        <v>40</v>
      </c>
      <c r="C150" t="s">
        <v>43</v>
      </c>
      <c r="D150" t="s">
        <v>73</v>
      </c>
      <c r="E150">
        <v>406</v>
      </c>
      <c r="F150" t="str">
        <f>+CONCATENATE(Xero_Tax_Acc[[#This Row],[Line Item]]," - ",Xero_Tax_Acc[[#This Row],[Currency]]," - ",Xero_Tax_Acc[[#This Row],[Pipeline]])</f>
        <v>1Password License - AUD - Franchise Pipeline</v>
      </c>
      <c r="H150" t="str">
        <v>1Password License - AUD - Franchise Pipeline</v>
      </c>
    </row>
    <row r="151" spans="1:8" hidden="1">
      <c r="A151" t="s">
        <v>128</v>
      </c>
      <c r="B151" t="s">
        <v>40</v>
      </c>
      <c r="C151" t="s">
        <v>43</v>
      </c>
      <c r="D151" t="s">
        <v>73</v>
      </c>
      <c r="E151">
        <v>406</v>
      </c>
      <c r="F151" t="str">
        <f>+CONCATENATE(Xero_Tax_Acc[[#This Row],[Line Item]]," - ",Xero_Tax_Acc[[#This Row],[Currency]]," - ",Xero_Tax_Acc[[#This Row],[Pipeline]])</f>
        <v>Consultant - MS Email Only + 1Password - AUD - Franchise Pipeline</v>
      </c>
      <c r="H151" t="str">
        <v>Consultant - MS Email Only + 1Password - AUD - Franchise Pipeline</v>
      </c>
    </row>
    <row r="152" spans="1:8" hidden="1">
      <c r="A152" t="s">
        <v>129</v>
      </c>
      <c r="B152" t="s">
        <v>40</v>
      </c>
      <c r="C152" t="s">
        <v>43</v>
      </c>
      <c r="D152" t="s">
        <v>73</v>
      </c>
      <c r="E152">
        <v>406</v>
      </c>
      <c r="F152" t="str">
        <f>+CONCATENATE(Xero_Tax_Acc[[#This Row],[Line Item]]," - ",Xero_Tax_Acc[[#This Row],[Currency]]," - ",Xero_Tax_Acc[[#This Row],[Pipeline]])</f>
        <v>Consultant - HubSpot Sales License - AUD - Franchise Pipeline</v>
      </c>
      <c r="H152" t="str">
        <v>Consultant - HubSpot Sales License - AUD - Franchise Pipeline</v>
      </c>
    </row>
    <row r="153" spans="1:8" hidden="1">
      <c r="A153" t="s">
        <v>130</v>
      </c>
      <c r="B153" t="s">
        <v>40</v>
      </c>
      <c r="C153" t="s">
        <v>43</v>
      </c>
      <c r="D153" t="s">
        <v>73</v>
      </c>
      <c r="E153">
        <v>406</v>
      </c>
      <c r="F153" t="str">
        <f>+CONCATENATE(Xero_Tax_Acc[[#This Row],[Line Item]]," - ",Xero_Tax_Acc[[#This Row],[Currency]]," - ",Xero_Tax_Acc[[#This Row],[Pipeline]])</f>
        <v>Consultant - MS CoPilot License - AUD - Franchise Pipeline</v>
      </c>
      <c r="H153" t="str">
        <v>Consultant - MS CoPilot License - AUD - Franchise Pipeline</v>
      </c>
    </row>
    <row r="154" spans="1:8" hidden="1">
      <c r="A154" t="s">
        <v>131</v>
      </c>
      <c r="B154" t="s">
        <v>40</v>
      </c>
      <c r="C154" t="s">
        <v>43</v>
      </c>
      <c r="D154" t="s">
        <v>73</v>
      </c>
      <c r="E154">
        <v>406</v>
      </c>
      <c r="F154" t="str">
        <f>+CONCATENATE(Xero_Tax_Acc[[#This Row],[Line Item]]," - ",Xero_Tax_Acc[[#This Row],[Currency]]," - ",Xero_Tax_Acc[[#This Row],[Pipeline]])</f>
        <v>HubSpot Sales License - AUD - Franchise Pipeline</v>
      </c>
      <c r="H154" t="str">
        <v>HubSpot Sales License - AUD - Franchise Pipeline</v>
      </c>
    </row>
    <row r="155" spans="1:8" hidden="1">
      <c r="A155" t="s">
        <v>132</v>
      </c>
      <c r="B155" t="s">
        <v>40</v>
      </c>
      <c r="C155" t="s">
        <v>43</v>
      </c>
      <c r="D155" t="s">
        <v>73</v>
      </c>
      <c r="E155">
        <v>406</v>
      </c>
      <c r="F155" t="str">
        <f>+CONCATENATE(Xero_Tax_Acc[[#This Row],[Line Item]]," - ",Xero_Tax_Acc[[#This Row],[Currency]]," - ",Xero_Tax_Acc[[#This Row],[Pipeline]])</f>
        <v>Consultant - Apollo License - AUD - Franchise Pipeline</v>
      </c>
      <c r="H155" t="str">
        <v>Consultant - Apollo License - AUD - Franchise Pipeline</v>
      </c>
    </row>
    <row r="156" spans="1:8" hidden="1">
      <c r="A156" t="s">
        <v>133</v>
      </c>
      <c r="B156" t="s">
        <v>40</v>
      </c>
      <c r="C156" t="s">
        <v>43</v>
      </c>
      <c r="D156" t="s">
        <v>73</v>
      </c>
      <c r="E156">
        <v>406</v>
      </c>
      <c r="F156" t="str">
        <f>+CONCATENATE(Xero_Tax_Acc[[#This Row],[Line Item]]," - ",Xero_Tax_Acc[[#This Row],[Currency]]," - ",Xero_Tax_Acc[[#This Row],[Pipeline]])</f>
        <v>Consultant - MS Email Only - AUD - Franchise Pipeline</v>
      </c>
      <c r="H156" t="str">
        <v>Consultant - MS Email Only - AUD - Franchise Pipeline</v>
      </c>
    </row>
    <row r="157" spans="1:8" hidden="1">
      <c r="A157" t="s">
        <v>134</v>
      </c>
      <c r="B157" t="s">
        <v>40</v>
      </c>
      <c r="C157" t="s">
        <v>43</v>
      </c>
      <c r="D157" t="s">
        <v>73</v>
      </c>
      <c r="E157">
        <v>406</v>
      </c>
      <c r="F157" t="str">
        <f>+CONCATENATE(Xero_Tax_Acc[[#This Row],[Line Item]]," - ",Xero_Tax_Acc[[#This Row],[Currency]]," - ",Xero_Tax_Acc[[#This Row],[Pipeline]])</f>
        <v>Consultant - MS O365 License + 1Password - AUD - Franchise Pipeline</v>
      </c>
      <c r="H157" t="str">
        <v>Consultant - MS O365 License + 1Password - AUD - Franchise Pipeline</v>
      </c>
    </row>
    <row r="158" spans="1:8" hidden="1">
      <c r="A158" t="s">
        <v>135</v>
      </c>
      <c r="B158" t="s">
        <v>40</v>
      </c>
      <c r="C158" t="s">
        <v>43</v>
      </c>
      <c r="D158" t="s">
        <v>73</v>
      </c>
      <c r="E158">
        <v>406</v>
      </c>
      <c r="F158" t="str">
        <f>+CONCATENATE(Xero_Tax_Acc[[#This Row],[Line Item]]," - ",Xero_Tax_Acc[[#This Row],[Currency]]," - ",Xero_Tax_Acc[[#This Row],[Pipeline]])</f>
        <v>Dripify License - AUD - Franchise Pipeline</v>
      </c>
      <c r="H158" t="str">
        <v>Dripify License - AUD - Franchise Pipeline</v>
      </c>
    </row>
    <row r="159" spans="1:8">
      <c r="A159" t="s">
        <v>136</v>
      </c>
      <c r="B159" t="s">
        <v>40</v>
      </c>
      <c r="C159" t="s">
        <v>43</v>
      </c>
      <c r="D159" t="s">
        <v>73</v>
      </c>
      <c r="E159">
        <v>405</v>
      </c>
      <c r="F159" t="str">
        <f>+CONCATENATE(Xero_Tax_Acc[[#This Row],[Line Item]]," - ",Xero_Tax_Acc[[#This Row],[Currency]]," - ",Xero_Tax_Acc[[#This Row],[Pipeline]])</f>
        <v>Monthly Annual Conference Fee - AUD - Franchise Pipeline</v>
      </c>
      <c r="H159" t="str">
        <v>Monthly Annual Conference Fee - AUD - Franchise Pipeline</v>
      </c>
    </row>
    <row r="160" spans="1:8" hidden="1">
      <c r="A160" t="s">
        <v>137</v>
      </c>
      <c r="B160" t="s">
        <v>40</v>
      </c>
      <c r="C160" t="s">
        <v>43</v>
      </c>
      <c r="D160" t="s">
        <v>73</v>
      </c>
      <c r="E160">
        <v>406</v>
      </c>
      <c r="F160" t="str">
        <f>+CONCATENATE(Xero_Tax_Acc[[#This Row],[Line Item]]," - ",Xero_Tax_Acc[[#This Row],[Currency]]," - ",Xero_Tax_Acc[[#This Row],[Pipeline]])</f>
        <v>MS CoPilot License - AUD - Franchise Pipeline</v>
      </c>
      <c r="H160" t="str">
        <v>MS CoPilot License - AUD - Franchise Pipeline</v>
      </c>
    </row>
    <row r="161" spans="1:8" hidden="1">
      <c r="A161" t="s">
        <v>138</v>
      </c>
      <c r="B161" t="s">
        <v>40</v>
      </c>
      <c r="C161" t="s">
        <v>43</v>
      </c>
      <c r="D161" t="s">
        <v>73</v>
      </c>
      <c r="E161">
        <v>406</v>
      </c>
      <c r="F161" t="str">
        <f>+CONCATENATE(Xero_Tax_Acc[[#This Row],[Line Item]]," - ",Xero_Tax_Acc[[#This Row],[Currency]]," - ",Xero_Tax_Acc[[#This Row],[Pipeline]])</f>
        <v>MS O365 License + 1Password - AUD - Franchise Pipeline</v>
      </c>
      <c r="H161" t="str">
        <v>MS O365 License + 1Password - AUD - Franchise Pipeline</v>
      </c>
    </row>
    <row r="162" spans="1:8" hidden="1">
      <c r="A162" t="s">
        <v>139</v>
      </c>
      <c r="B162" t="s">
        <v>40</v>
      </c>
      <c r="C162" t="s">
        <v>43</v>
      </c>
      <c r="D162" t="s">
        <v>73</v>
      </c>
      <c r="E162">
        <v>406</v>
      </c>
      <c r="F162" t="str">
        <f>+CONCATENATE(Xero_Tax_Acc[[#This Row],[Line Item]]," - ",Xero_Tax_Acc[[#This Row],[Currency]]," - ",Xero_Tax_Acc[[#This Row],[Pipeline]])</f>
        <v>Apollo License - AUD - Franchise Pipeline</v>
      </c>
      <c r="H162" t="str">
        <v>Apollo License - AUD - Franchise Pipeline</v>
      </c>
    </row>
    <row r="163" spans="1:8" hidden="1">
      <c r="A163" t="s">
        <v>140</v>
      </c>
      <c r="B163" t="s">
        <v>40</v>
      </c>
      <c r="C163" t="s">
        <v>41</v>
      </c>
      <c r="D163" t="s">
        <v>73</v>
      </c>
      <c r="E163">
        <v>4300</v>
      </c>
      <c r="F163" t="str">
        <f>+CONCATENATE(Xero_Tax_Acc[[#This Row],[Line Item]]," - ",Xero_Tax_Acc[[#This Row],[Currency]]," - ",Xero_Tax_Acc[[#This Row],[Pipeline]])</f>
        <v>Data Analyst - AUD - Sales Pipeline</v>
      </c>
      <c r="H163" t="str">
        <v>Data Analyst - AUD - Sales Pipeline</v>
      </c>
    </row>
    <row r="164" spans="1:8" hidden="1">
      <c r="A164" t="s">
        <v>141</v>
      </c>
      <c r="B164" t="s">
        <v>40</v>
      </c>
      <c r="C164" t="s">
        <v>44</v>
      </c>
      <c r="D164" t="s">
        <v>73</v>
      </c>
      <c r="E164">
        <v>404</v>
      </c>
      <c r="F164" t="str">
        <f>+CONCATENATE(Xero_Tax_Acc[[#This Row],[Line Item]]," - ",Xero_Tax_Acc[[#This Row],[Currency]]," - ",Xero_Tax_Acc[[#This Row],[Pipeline]])</f>
        <v>Reseller International - AUD - Reseller Pipeline</v>
      </c>
      <c r="H164" t="str">
        <v>Reseller International - AUD - Reseller Pipeline</v>
      </c>
    </row>
    <row r="165" spans="1:8">
      <c r="A165" t="s">
        <v>106</v>
      </c>
      <c r="B165" t="s">
        <v>40</v>
      </c>
      <c r="C165" t="s">
        <v>44</v>
      </c>
      <c r="D165" t="s">
        <v>73</v>
      </c>
      <c r="E165">
        <v>404</v>
      </c>
      <c r="F165" t="str">
        <f>+CONCATENATE(Xero_Tax_Acc[[#This Row],[Line Item]]," - ",Xero_Tax_Acc[[#This Row],[Currency]]," - ",Xero_Tax_Acc[[#This Row],[Pipeline]])</f>
        <v>Reseller Monthly Fee - AUD - Reseller Pipeline</v>
      </c>
      <c r="H165" t="str">
        <v>Consultant - Dripify License - GBP - Franchise Pipeline</v>
      </c>
    </row>
    <row r="166" spans="1:8" hidden="1">
      <c r="A166" t="s">
        <v>126</v>
      </c>
      <c r="B166" t="s">
        <v>51</v>
      </c>
      <c r="C166" t="s">
        <v>43</v>
      </c>
      <c r="D166" t="s">
        <v>125</v>
      </c>
      <c r="E166">
        <v>406</v>
      </c>
      <c r="F166" t="str">
        <f>+CONCATENATE(Xero_Tax_Acc[[#This Row],[Line Item]]," - ",Xero_Tax_Acc[[#This Row],[Currency]]," - ",Xero_Tax_Acc[[#This Row],[Pipeline]])</f>
        <v>Consultant - Dripify License - GBP - Franchise Pipeline</v>
      </c>
      <c r="H166" t="str">
        <v>1Password License - GBP - Franchise Pipeline</v>
      </c>
    </row>
    <row r="167" spans="1:8" hidden="1">
      <c r="A167" t="s">
        <v>127</v>
      </c>
      <c r="B167" t="s">
        <v>51</v>
      </c>
      <c r="C167" t="s">
        <v>43</v>
      </c>
      <c r="D167" t="s">
        <v>125</v>
      </c>
      <c r="E167">
        <v>406</v>
      </c>
      <c r="F167" t="str">
        <f>+CONCATENATE(Xero_Tax_Acc[[#This Row],[Line Item]]," - ",Xero_Tax_Acc[[#This Row],[Currency]]," - ",Xero_Tax_Acc[[#This Row],[Pipeline]])</f>
        <v>1Password License - GBP - Franchise Pipeline</v>
      </c>
      <c r="H167" t="str">
        <v>Consultant - MS Email Only + 1Password - GBP - Franchise Pipeline</v>
      </c>
    </row>
    <row r="168" spans="1:8" hidden="1">
      <c r="A168" t="s">
        <v>128</v>
      </c>
      <c r="B168" t="s">
        <v>51</v>
      </c>
      <c r="C168" t="s">
        <v>43</v>
      </c>
      <c r="D168" t="s">
        <v>125</v>
      </c>
      <c r="E168">
        <v>406</v>
      </c>
      <c r="F168" t="str">
        <f>+CONCATENATE(Xero_Tax_Acc[[#This Row],[Line Item]]," - ",Xero_Tax_Acc[[#This Row],[Currency]]," - ",Xero_Tax_Acc[[#This Row],[Pipeline]])</f>
        <v>Consultant - MS Email Only + 1Password - GBP - Franchise Pipeline</v>
      </c>
      <c r="H168" t="str">
        <v>Consultant - HubSpot Sales License - GBP - Franchise Pipeline</v>
      </c>
    </row>
    <row r="169" spans="1:8" hidden="1">
      <c r="A169" t="s">
        <v>129</v>
      </c>
      <c r="B169" t="s">
        <v>51</v>
      </c>
      <c r="C169" t="s">
        <v>43</v>
      </c>
      <c r="D169" t="s">
        <v>125</v>
      </c>
      <c r="E169">
        <v>406</v>
      </c>
      <c r="F169" t="str">
        <f>+CONCATENATE(Xero_Tax_Acc[[#This Row],[Line Item]]," - ",Xero_Tax_Acc[[#This Row],[Currency]]," - ",Xero_Tax_Acc[[#This Row],[Pipeline]])</f>
        <v>Consultant - HubSpot Sales License - GBP - Franchise Pipeline</v>
      </c>
      <c r="H169" t="str">
        <v>Consultant - MS CoPilot License - GBP - Franchise Pipeline</v>
      </c>
    </row>
    <row r="170" spans="1:8" hidden="1">
      <c r="A170" t="s">
        <v>130</v>
      </c>
      <c r="B170" t="s">
        <v>51</v>
      </c>
      <c r="C170" t="s">
        <v>43</v>
      </c>
      <c r="D170" t="s">
        <v>125</v>
      </c>
      <c r="E170">
        <v>406</v>
      </c>
      <c r="F170" t="str">
        <f>+CONCATENATE(Xero_Tax_Acc[[#This Row],[Line Item]]," - ",Xero_Tax_Acc[[#This Row],[Currency]]," - ",Xero_Tax_Acc[[#This Row],[Pipeline]])</f>
        <v>Consultant - MS CoPilot License - GBP - Franchise Pipeline</v>
      </c>
      <c r="H170" t="str">
        <v>HubSpot Sales License - GBP - Franchise Pipeline</v>
      </c>
    </row>
    <row r="171" spans="1:8" hidden="1">
      <c r="A171" t="s">
        <v>131</v>
      </c>
      <c r="B171" t="s">
        <v>51</v>
      </c>
      <c r="C171" t="s">
        <v>43</v>
      </c>
      <c r="D171" t="s">
        <v>125</v>
      </c>
      <c r="E171">
        <v>406</v>
      </c>
      <c r="F171" t="str">
        <f>+CONCATENATE(Xero_Tax_Acc[[#This Row],[Line Item]]," - ",Xero_Tax_Acc[[#This Row],[Currency]]," - ",Xero_Tax_Acc[[#This Row],[Pipeline]])</f>
        <v>HubSpot Sales License - GBP - Franchise Pipeline</v>
      </c>
      <c r="H171" t="str">
        <v>Consultant - Apollo License - GBP - Franchise Pipeline</v>
      </c>
    </row>
    <row r="172" spans="1:8" hidden="1">
      <c r="A172" t="s">
        <v>132</v>
      </c>
      <c r="B172" t="s">
        <v>51</v>
      </c>
      <c r="C172" t="s">
        <v>43</v>
      </c>
      <c r="D172" t="s">
        <v>125</v>
      </c>
      <c r="E172">
        <v>406</v>
      </c>
      <c r="F172" t="str">
        <f>+CONCATENATE(Xero_Tax_Acc[[#This Row],[Line Item]]," - ",Xero_Tax_Acc[[#This Row],[Currency]]," - ",Xero_Tax_Acc[[#This Row],[Pipeline]])</f>
        <v>Consultant - Apollo License - GBP - Franchise Pipeline</v>
      </c>
      <c r="H172" t="str">
        <v>Consultant - MS Email Only - GBP - Franchise Pipeline</v>
      </c>
    </row>
    <row r="173" spans="1:8" hidden="1">
      <c r="A173" t="s">
        <v>133</v>
      </c>
      <c r="B173" t="s">
        <v>51</v>
      </c>
      <c r="C173" t="s">
        <v>43</v>
      </c>
      <c r="D173" t="s">
        <v>125</v>
      </c>
      <c r="E173">
        <v>406</v>
      </c>
      <c r="F173" t="str">
        <f>+CONCATENATE(Xero_Tax_Acc[[#This Row],[Line Item]]," - ",Xero_Tax_Acc[[#This Row],[Currency]]," - ",Xero_Tax_Acc[[#This Row],[Pipeline]])</f>
        <v>Consultant - MS Email Only - GBP - Franchise Pipeline</v>
      </c>
      <c r="H173" t="str">
        <v>Consultant - MS O365 License + 1Password - GBP - Franchise Pipeline</v>
      </c>
    </row>
    <row r="174" spans="1:8" hidden="1">
      <c r="A174" t="s">
        <v>134</v>
      </c>
      <c r="B174" t="s">
        <v>51</v>
      </c>
      <c r="C174" t="s">
        <v>43</v>
      </c>
      <c r="D174" t="s">
        <v>125</v>
      </c>
      <c r="E174">
        <v>406</v>
      </c>
      <c r="F174" t="str">
        <f>+CONCATENATE(Xero_Tax_Acc[[#This Row],[Line Item]]," - ",Xero_Tax_Acc[[#This Row],[Currency]]," - ",Xero_Tax_Acc[[#This Row],[Pipeline]])</f>
        <v>Consultant - MS O365 License + 1Password - GBP - Franchise Pipeline</v>
      </c>
      <c r="H174" t="str">
        <v>Dripify License - GBP - Franchise Pipeline</v>
      </c>
    </row>
    <row r="175" spans="1:8" hidden="1">
      <c r="A175" t="s">
        <v>135</v>
      </c>
      <c r="B175" t="s">
        <v>51</v>
      </c>
      <c r="C175" t="s">
        <v>43</v>
      </c>
      <c r="D175" t="s">
        <v>125</v>
      </c>
      <c r="E175">
        <v>406</v>
      </c>
      <c r="F175" t="str">
        <f>+CONCATENATE(Xero_Tax_Acc[[#This Row],[Line Item]]," - ",Xero_Tax_Acc[[#This Row],[Currency]]," - ",Xero_Tax_Acc[[#This Row],[Pipeline]])</f>
        <v>Dripify License - GBP - Franchise Pipeline</v>
      </c>
      <c r="H175" t="str">
        <v>Monthly Annual Conference Fee - GBP - Franchise Pipeline</v>
      </c>
    </row>
    <row r="176" spans="1:8">
      <c r="A176" t="s">
        <v>136</v>
      </c>
      <c r="B176" t="s">
        <v>51</v>
      </c>
      <c r="C176" t="s">
        <v>43</v>
      </c>
      <c r="D176" t="s">
        <v>125</v>
      </c>
      <c r="E176">
        <v>406</v>
      </c>
      <c r="F176" t="str">
        <f>+CONCATENATE(Xero_Tax_Acc[[#This Row],[Line Item]]," - ",Xero_Tax_Acc[[#This Row],[Currency]]," - ",Xero_Tax_Acc[[#This Row],[Pipeline]])</f>
        <v>Monthly Annual Conference Fee - GBP - Franchise Pipeline</v>
      </c>
      <c r="H176" t="str">
        <v>MS CoPilot License - GBP - Franchise Pipeline</v>
      </c>
    </row>
    <row r="177" spans="1:8" hidden="1">
      <c r="A177" t="s">
        <v>137</v>
      </c>
      <c r="B177" t="s">
        <v>51</v>
      </c>
      <c r="C177" t="s">
        <v>43</v>
      </c>
      <c r="D177" t="s">
        <v>125</v>
      </c>
      <c r="E177">
        <v>406</v>
      </c>
      <c r="F177" t="str">
        <f>+CONCATENATE(Xero_Tax_Acc[[#This Row],[Line Item]]," - ",Xero_Tax_Acc[[#This Row],[Currency]]," - ",Xero_Tax_Acc[[#This Row],[Pipeline]])</f>
        <v>MS CoPilot License - GBP - Franchise Pipeline</v>
      </c>
      <c r="H177" t="str">
        <v>MS O365 License + 1Password - GBP - Franchise Pipeline</v>
      </c>
    </row>
    <row r="178" spans="1:8" hidden="1">
      <c r="A178" t="s">
        <v>138</v>
      </c>
      <c r="B178" t="s">
        <v>51</v>
      </c>
      <c r="C178" t="s">
        <v>43</v>
      </c>
      <c r="D178" t="s">
        <v>125</v>
      </c>
      <c r="E178">
        <v>406</v>
      </c>
      <c r="F178" t="str">
        <f>+CONCATENATE(Xero_Tax_Acc[[#This Row],[Line Item]]," - ",Xero_Tax_Acc[[#This Row],[Currency]]," - ",Xero_Tax_Acc[[#This Row],[Pipeline]])</f>
        <v>MS O365 License + 1Password - GBP - Franchise Pipeline</v>
      </c>
      <c r="H178" t="str">
        <v>Apollo License - GBP - Franchise Pipeline</v>
      </c>
    </row>
    <row r="179" spans="1:8" hidden="1">
      <c r="A179" t="s">
        <v>139</v>
      </c>
      <c r="B179" t="s">
        <v>51</v>
      </c>
      <c r="C179" t="s">
        <v>43</v>
      </c>
      <c r="D179" t="s">
        <v>125</v>
      </c>
      <c r="E179">
        <v>406</v>
      </c>
      <c r="F179" t="str">
        <f>+CONCATENATE(Xero_Tax_Acc[[#This Row],[Line Item]]," - ",Xero_Tax_Acc[[#This Row],[Currency]]," - ",Xero_Tax_Acc[[#This Row],[Pipeline]])</f>
        <v>Apollo License - GBP - Franchise Pipeline</v>
      </c>
      <c r="H179" t="str">
        <v>Data Analyst - GBP - Sales Pipeline</v>
      </c>
    </row>
    <row r="180" spans="1:8" hidden="1">
      <c r="A180" t="s">
        <v>140</v>
      </c>
      <c r="B180" t="s">
        <v>51</v>
      </c>
      <c r="C180" t="s">
        <v>41</v>
      </c>
      <c r="D180" t="s">
        <v>125</v>
      </c>
      <c r="E180">
        <v>4300</v>
      </c>
      <c r="F180" t="str">
        <f>+CONCATENATE(Xero_Tax_Acc[[#This Row],[Line Item]]," - ",Xero_Tax_Acc[[#This Row],[Currency]]," - ",Xero_Tax_Acc[[#This Row],[Pipeline]])</f>
        <v>Data Analyst - GBP - Sales Pipeline</v>
      </c>
      <c r="H180" t="str">
        <v>Reseller International - GBP - Reseller Pipeline</v>
      </c>
    </row>
    <row r="181" spans="1:8" hidden="1">
      <c r="A181" t="s">
        <v>141</v>
      </c>
      <c r="B181" t="s">
        <v>51</v>
      </c>
      <c r="C181" t="s">
        <v>44</v>
      </c>
      <c r="D181" t="s">
        <v>125</v>
      </c>
      <c r="E181">
        <v>4400</v>
      </c>
      <c r="F181" t="str">
        <f>+CONCATENATE(Xero_Tax_Acc[[#This Row],[Line Item]]," - ",Xero_Tax_Acc[[#This Row],[Currency]]," - ",Xero_Tax_Acc[[#This Row],[Pipeline]])</f>
        <v>Reseller International - GBP - Reseller Pipeline</v>
      </c>
      <c r="H181" t="str">
        <v>Client Staff Bonus - AUD - Sales Pipeline</v>
      </c>
    </row>
    <row r="182" spans="1:8" hidden="1">
      <c r="A182" t="s">
        <v>142</v>
      </c>
      <c r="B182" t="s">
        <v>40</v>
      </c>
      <c r="C182" t="s">
        <v>41</v>
      </c>
      <c r="D182" t="s">
        <v>143</v>
      </c>
      <c r="E182">
        <v>280</v>
      </c>
      <c r="F182" t="str">
        <f>+CONCATENATE(Xero_Tax_Acc[[#This Row],[Line Item]]," - ",Xero_Tax_Acc[[#This Row],[Currency]]," - ",Xero_Tax_Acc[[#This Row],[Pipeline]])</f>
        <v>Client Staff Bonus - AUD - Sales Pipeline</v>
      </c>
      <c r="H182" t="str">
        <v>Client Staff Bonus - GBP - Sales Pipeline</v>
      </c>
    </row>
    <row r="183" spans="1:8" hidden="1">
      <c r="A183" t="s">
        <v>142</v>
      </c>
      <c r="B183" t="s">
        <v>51</v>
      </c>
      <c r="C183" t="s">
        <v>41</v>
      </c>
      <c r="D183" t="s">
        <v>144</v>
      </c>
      <c r="E183">
        <v>260</v>
      </c>
      <c r="F183" t="str">
        <f>+CONCATENATE(Xero_Tax_Acc[[#This Row],[Line Item]]," - ",Xero_Tax_Acc[[#This Row],[Currency]]," - ",Xero_Tax_Acc[[#This Row],[Pipeline]])</f>
        <v>Client Staff Bonus - GBP - Sales Pipeline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0A3338-C622-4FF5-BFA9-54DFDA479994}"/>
</file>

<file path=customXml/itemProps2.xml><?xml version="1.0" encoding="utf-8"?>
<ds:datastoreItem xmlns:ds="http://schemas.openxmlformats.org/officeDocument/2006/customXml" ds:itemID="{A88FCA88-4CCB-4A2A-8432-786A6791AF57}"/>
</file>

<file path=customXml/itemProps3.xml><?xml version="1.0" encoding="utf-8"?>
<ds:datastoreItem xmlns:ds="http://schemas.openxmlformats.org/officeDocument/2006/customXml" ds:itemID="{0554FEC5-F8C0-4A0B-9C72-9FC3334369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Ricardo Rocha Quecano</cp:lastModifiedBy>
  <cp:revision/>
  <dcterms:created xsi:type="dcterms:W3CDTF">2026-01-13T17:20:16Z</dcterms:created>
  <dcterms:modified xsi:type="dcterms:W3CDTF">2026-03-18T12:43:21Z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